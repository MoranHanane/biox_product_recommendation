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Moran (CCI)\formation développeur IA\Moran\Bio-X\automatisation TB Odoo\recommendations_commerciales\"/>
    </mc:Choice>
  </mc:AlternateContent>
  <xr:revisionPtr revIDLastSave="0" documentId="13_ncr:1_{AC40B0C1-1B01-4396-B1BC-537EE457E2A7}" xr6:coauthVersionLast="47" xr6:coauthVersionMax="47" xr10:uidLastSave="{00000000-0000-0000-0000-000000000000}"/>
  <bookViews>
    <workbookView xWindow="-108" yWindow="-108" windowWidth="23256" windowHeight="12456" xr2:uid="{00000000-000D-0000-FFFF-FFFF00000000}"/>
  </bookViews>
  <sheets>
    <sheet name="Dashboard" sheetId="1" r:id="rId1"/>
    <sheet name="Categories" sheetId="2" r:id="rId2"/>
    <sheet name="CA" sheetId="3" r:id="rId3"/>
    <sheet name="Quantity" sheetId="4" r:id="rId4"/>
    <sheet name="Filtres actif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51" i="4" l="1" a="1"/>
  <c r="AI551" i="4" s="1"/>
  <c r="AI550" i="4" a="1"/>
  <c r="AI550" i="4" s="1"/>
  <c r="AI549" i="4" a="1"/>
  <c r="AI549" i="4" s="1"/>
  <c r="AI548" i="4" a="1"/>
  <c r="AI548" i="4" s="1"/>
  <c r="AI547" i="4" a="1"/>
  <c r="AI547" i="4" s="1"/>
  <c r="AI546" i="4" a="1"/>
  <c r="AI546" i="4" s="1"/>
  <c r="AI545" i="4" a="1"/>
  <c r="AI545" i="4" s="1"/>
  <c r="AI544" i="4" a="1"/>
  <c r="AI544" i="4" s="1"/>
  <c r="AI543" i="4" a="1"/>
  <c r="AI543" i="4" s="1"/>
  <c r="AI542" i="4" a="1"/>
  <c r="AI542" i="4" s="1"/>
  <c r="AI541" i="4" a="1"/>
  <c r="AI541" i="4" s="1"/>
  <c r="AI540" i="4" a="1"/>
  <c r="AI540" i="4" s="1"/>
  <c r="AI539" i="4" a="1"/>
  <c r="AI539" i="4" s="1"/>
  <c r="AI538" i="4" a="1"/>
  <c r="AI538" i="4" s="1"/>
  <c r="AI537" i="4" a="1"/>
  <c r="AI537" i="4" s="1"/>
  <c r="AI536" i="4" a="1"/>
  <c r="AI536" i="4" s="1"/>
  <c r="AI535" i="4" a="1"/>
  <c r="AI535" i="4" s="1"/>
  <c r="AI534" i="4" a="1"/>
  <c r="AI534" i="4" s="1"/>
  <c r="AI533" i="4" a="1"/>
  <c r="AI533" i="4"/>
  <c r="AI532" i="4" a="1"/>
  <c r="AI532" i="4"/>
  <c r="AI531" i="4" a="1"/>
  <c r="AI531" i="4" s="1"/>
  <c r="AI530" i="4" a="1"/>
  <c r="AI530" i="4" s="1"/>
  <c r="AI529" i="4" a="1"/>
  <c r="AI529" i="4"/>
  <c r="AI528" i="4" a="1"/>
  <c r="AI528" i="4"/>
  <c r="AI527" i="4" a="1"/>
  <c r="AI527" i="4" s="1"/>
  <c r="AI526" i="4" a="1"/>
  <c r="AI526" i="4" s="1"/>
  <c r="AI525" i="4" a="1"/>
  <c r="AI525" i="4" s="1"/>
  <c r="AI524" i="4" a="1"/>
  <c r="AI524" i="4" s="1"/>
  <c r="AI523" i="4" a="1"/>
  <c r="AI523" i="4" s="1"/>
  <c r="AI522" i="4" a="1"/>
  <c r="AI522" i="4" s="1"/>
  <c r="AI521" i="4" a="1"/>
  <c r="AI521" i="4" s="1"/>
  <c r="AI520" i="4" a="1"/>
  <c r="AI520" i="4" s="1"/>
  <c r="AI519" i="4" a="1"/>
  <c r="AI519" i="4" s="1"/>
  <c r="AI518" i="4" a="1"/>
  <c r="AI518" i="4" s="1"/>
  <c r="AI517" i="4" a="1"/>
  <c r="AI517" i="4" s="1"/>
  <c r="AI516" i="4" a="1"/>
  <c r="AI516" i="4" s="1"/>
  <c r="AI515" i="4" a="1"/>
  <c r="AI515" i="4" s="1"/>
  <c r="AI514" i="4" a="1"/>
  <c r="AI514" i="4" s="1"/>
  <c r="AI513" i="4" a="1"/>
  <c r="AI513" i="4"/>
  <c r="AI512" i="4" a="1"/>
  <c r="AI512" i="4"/>
  <c r="AI511" i="4" a="1"/>
  <c r="AI511" i="4" s="1"/>
  <c r="AI510" i="4" a="1"/>
  <c r="AI510" i="4" s="1"/>
  <c r="AI509" i="4" a="1"/>
  <c r="AI509" i="4" s="1"/>
  <c r="AI508" i="4" a="1"/>
  <c r="AI508" i="4" s="1"/>
  <c r="AI507" i="4" a="1"/>
  <c r="AI507" i="4" s="1"/>
  <c r="AI506" i="4" a="1"/>
  <c r="AI506" i="4" s="1"/>
  <c r="AI505" i="4" a="1"/>
  <c r="AI505" i="4" s="1"/>
  <c r="AI504" i="4" a="1"/>
  <c r="AI504" i="4" s="1"/>
  <c r="AI503" i="4" a="1"/>
  <c r="AI503" i="4" s="1"/>
  <c r="AI502" i="4" a="1"/>
  <c r="AI502" i="4" s="1"/>
  <c r="AI501" i="4" a="1"/>
  <c r="AI501" i="4" s="1"/>
  <c r="AI500" i="4" a="1"/>
  <c r="AI500" i="4" s="1"/>
  <c r="AI499" i="4" a="1"/>
  <c r="AI499" i="4" s="1"/>
  <c r="AI498" i="4" a="1"/>
  <c r="AI498" i="4" s="1"/>
  <c r="AI497" i="4" a="1"/>
  <c r="AI497" i="4"/>
  <c r="AI496" i="4" a="1"/>
  <c r="AI496" i="4" s="1"/>
  <c r="AI495" i="4" a="1"/>
  <c r="AI495" i="4" s="1"/>
  <c r="AI494" i="4" a="1"/>
  <c r="AI494" i="4" s="1"/>
  <c r="AI493" i="4" a="1"/>
  <c r="AI493" i="4" s="1"/>
  <c r="AI492" i="4" a="1"/>
  <c r="AI492" i="4" s="1"/>
  <c r="AI491" i="4" a="1"/>
  <c r="AI491" i="4" s="1"/>
  <c r="AI490" i="4" a="1"/>
  <c r="AI490" i="4" s="1"/>
  <c r="AI489" i="4" a="1"/>
  <c r="AI489" i="4" s="1"/>
  <c r="AI488" i="4" a="1"/>
  <c r="AI488" i="4" s="1"/>
  <c r="AI487" i="4" a="1"/>
  <c r="AI487" i="4" s="1"/>
  <c r="AI486" i="4" a="1"/>
  <c r="AI486" i="4" s="1"/>
  <c r="AI485" i="4" a="1"/>
  <c r="AI485" i="4"/>
  <c r="AI484" i="4" a="1"/>
  <c r="AI484" i="4" s="1"/>
  <c r="AI483" i="4" a="1"/>
  <c r="AI483" i="4" s="1"/>
  <c r="AI482" i="4" a="1"/>
  <c r="AI482" i="4" s="1"/>
  <c r="AI481" i="4" a="1"/>
  <c r="AI481" i="4"/>
  <c r="AI480" i="4" a="1"/>
  <c r="AI480" i="4"/>
  <c r="AI479" i="4" a="1"/>
  <c r="AI479" i="4" s="1"/>
  <c r="AI478" i="4" a="1"/>
  <c r="AI478" i="4" s="1"/>
  <c r="AI477" i="4" a="1"/>
  <c r="AI477" i="4" s="1"/>
  <c r="AI476" i="4" a="1"/>
  <c r="AI476" i="4" s="1"/>
  <c r="AI475" i="4" a="1"/>
  <c r="AI475" i="4" s="1"/>
  <c r="AI474" i="4" a="1"/>
  <c r="AI474" i="4" s="1"/>
  <c r="AI473" i="4" a="1"/>
  <c r="AI473" i="4" s="1"/>
  <c r="AI472" i="4" a="1"/>
  <c r="AI472" i="4" s="1"/>
  <c r="AI471" i="4" a="1"/>
  <c r="AI471" i="4" s="1"/>
  <c r="AI470" i="4" a="1"/>
  <c r="AI470" i="4" s="1"/>
  <c r="AI469" i="4" a="1"/>
  <c r="AI469" i="4" s="1"/>
  <c r="AI468" i="4" a="1"/>
  <c r="AI468" i="4" s="1"/>
  <c r="AI467" i="4" a="1"/>
  <c r="AI467" i="4" s="1"/>
  <c r="AI466" i="4" a="1"/>
  <c r="AI466" i="4" s="1"/>
  <c r="AI465" i="4" a="1"/>
  <c r="AI465" i="4"/>
  <c r="AI464" i="4" a="1"/>
  <c r="AI464" i="4" s="1"/>
  <c r="AI463" i="4" a="1"/>
  <c r="AI463" i="4" s="1"/>
  <c r="AI462" i="4" a="1"/>
  <c r="AI462" i="4" s="1"/>
  <c r="AI461" i="4" a="1"/>
  <c r="AI461" i="4" s="1"/>
  <c r="AI460" i="4" a="1"/>
  <c r="AI460" i="4" s="1"/>
  <c r="AI459" i="4" a="1"/>
  <c r="AI459" i="4" s="1"/>
  <c r="AI458" i="4" a="1"/>
  <c r="AI458" i="4" s="1"/>
  <c r="AI457" i="4" a="1"/>
  <c r="AI457" i="4" s="1"/>
  <c r="AI456" i="4" a="1"/>
  <c r="AI456" i="4" s="1"/>
  <c r="AI455" i="4" a="1"/>
  <c r="AI455" i="4" s="1"/>
  <c r="AI454" i="4" a="1"/>
  <c r="AI454" i="4" s="1"/>
  <c r="AI453" i="4" a="1"/>
  <c r="AI453" i="4" s="1"/>
  <c r="AI452" i="4" a="1"/>
  <c r="AI452" i="4" s="1"/>
  <c r="AI451" i="4" a="1"/>
  <c r="AI451" i="4" s="1"/>
  <c r="AI450" i="4" a="1"/>
  <c r="AI450" i="4" s="1"/>
  <c r="AI449" i="4" a="1"/>
  <c r="AI449" i="4"/>
  <c r="AI448" i="4" a="1"/>
  <c r="AI448" i="4"/>
  <c r="AI447" i="4" a="1"/>
  <c r="AI447" i="4" s="1"/>
  <c r="AI446" i="4" a="1"/>
  <c r="AI446" i="4" s="1"/>
  <c r="AI445" i="4" a="1"/>
  <c r="AI445" i="4" s="1"/>
  <c r="AI444" i="4" a="1"/>
  <c r="AI444" i="4" s="1"/>
  <c r="AI443" i="4" a="1"/>
  <c r="AI443" i="4" s="1"/>
  <c r="AI442" i="4" a="1"/>
  <c r="AI442" i="4" s="1"/>
  <c r="AI441" i="4" a="1"/>
  <c r="AI441" i="4" s="1"/>
  <c r="AI440" i="4" a="1"/>
  <c r="AI440" i="4" s="1"/>
  <c r="AI439" i="4" a="1"/>
  <c r="AI439" i="4" s="1"/>
  <c r="AI438" i="4" a="1"/>
  <c r="AI438" i="4" s="1"/>
  <c r="AI437" i="4" a="1"/>
  <c r="AI437" i="4" s="1"/>
  <c r="AI436" i="4" a="1"/>
  <c r="AI436" i="4" s="1"/>
  <c r="AI435" i="4" a="1"/>
  <c r="AI435" i="4" s="1"/>
  <c r="AI434" i="4" a="1"/>
  <c r="AI434" i="4" s="1"/>
  <c r="AI433" i="4" a="1"/>
  <c r="AI433" i="4"/>
  <c r="AI432" i="4" a="1"/>
  <c r="AI432" i="4"/>
  <c r="AI431" i="4" a="1"/>
  <c r="AI431" i="4" s="1"/>
  <c r="AI430" i="4" a="1"/>
  <c r="AI430" i="4" s="1"/>
  <c r="AI429" i="4" a="1"/>
  <c r="AI429" i="4" s="1"/>
  <c r="AI428" i="4" a="1"/>
  <c r="AI428" i="4" s="1"/>
  <c r="AI427" i="4" a="1"/>
  <c r="AI427" i="4" s="1"/>
  <c r="AI426" i="4" a="1"/>
  <c r="AI426" i="4" s="1"/>
  <c r="AI425" i="4" a="1"/>
  <c r="AI425" i="4" s="1"/>
  <c r="AI424" i="4" a="1"/>
  <c r="AI424" i="4" s="1"/>
  <c r="AI423" i="4" a="1"/>
  <c r="AI423" i="4" s="1"/>
  <c r="AI422" i="4" a="1"/>
  <c r="AI422" i="4" s="1"/>
  <c r="AI421" i="4" a="1"/>
  <c r="AI421" i="4" s="1"/>
  <c r="AI420" i="4" a="1"/>
  <c r="AI420" i="4" s="1"/>
  <c r="AI419" i="4" a="1"/>
  <c r="AI419" i="4" s="1"/>
  <c r="AI418" i="4" a="1"/>
  <c r="AI418" i="4" s="1"/>
  <c r="AI417" i="4" a="1"/>
  <c r="AI417" i="4"/>
  <c r="AI416" i="4" a="1"/>
  <c r="AI416" i="4" s="1"/>
  <c r="AI415" i="4" a="1"/>
  <c r="AI415" i="4" s="1"/>
  <c r="AI414" i="4" a="1"/>
  <c r="AI414" i="4" s="1"/>
  <c r="AI413" i="4" a="1"/>
  <c r="AI413" i="4" s="1"/>
  <c r="AI412" i="4" a="1"/>
  <c r="AI412" i="4" s="1"/>
  <c r="AI411" i="4" a="1"/>
  <c r="AI411" i="4" s="1"/>
  <c r="AI410" i="4" a="1"/>
  <c r="AI410" i="4" s="1"/>
  <c r="AI409" i="4" a="1"/>
  <c r="AI409" i="4" s="1"/>
  <c r="AI408" i="4" a="1"/>
  <c r="AI408" i="4" s="1"/>
  <c r="AI407" i="4" a="1"/>
  <c r="AI407" i="4" s="1"/>
  <c r="AI406" i="4" a="1"/>
  <c r="AI406" i="4" s="1"/>
  <c r="AI405" i="4" a="1"/>
  <c r="AI405" i="4" s="1"/>
  <c r="AI404" i="4" a="1"/>
  <c r="AI404" i="4" s="1"/>
  <c r="AI403" i="4" a="1"/>
  <c r="AI403" i="4" s="1"/>
  <c r="AI402" i="4" a="1"/>
  <c r="AI402" i="4" s="1"/>
  <c r="AI401" i="4" a="1"/>
  <c r="AI401" i="4"/>
  <c r="AI400" i="4" a="1"/>
  <c r="AI400" i="4" s="1"/>
  <c r="AI399" i="4" a="1"/>
  <c r="AI399" i="4" s="1"/>
  <c r="AI398" i="4" a="1"/>
  <c r="AI398" i="4" s="1"/>
  <c r="AI397" i="4" a="1"/>
  <c r="AI397" i="4" s="1"/>
  <c r="AI396" i="4" a="1"/>
  <c r="AI396" i="4" s="1"/>
  <c r="AI395" i="4" a="1"/>
  <c r="AI395" i="4" s="1"/>
  <c r="AI394" i="4" a="1"/>
  <c r="AI394" i="4" s="1"/>
  <c r="AI393" i="4" a="1"/>
  <c r="AI393" i="4" s="1"/>
  <c r="AI392" i="4" a="1"/>
  <c r="AI392" i="4" s="1"/>
  <c r="AI391" i="4" a="1"/>
  <c r="AI391" i="4" s="1"/>
  <c r="AI390" i="4" a="1"/>
  <c r="AI390" i="4" s="1"/>
  <c r="AI389" i="4" a="1"/>
  <c r="AI389" i="4" s="1"/>
  <c r="AI388" i="4" a="1"/>
  <c r="AI388" i="4" s="1"/>
  <c r="AI387" i="4" a="1"/>
  <c r="AI387" i="4" s="1"/>
  <c r="AI386" i="4" a="1"/>
  <c r="AI386" i="4" s="1"/>
  <c r="AI385" i="4" a="1"/>
  <c r="AI385" i="4"/>
  <c r="AI384" i="4" a="1"/>
  <c r="AI384" i="4"/>
  <c r="AI383" i="4" a="1"/>
  <c r="AI383" i="4" s="1"/>
  <c r="AI382" i="4" a="1"/>
  <c r="AI382" i="4" s="1"/>
  <c r="AI381" i="4" a="1"/>
  <c r="AI381" i="4" s="1"/>
  <c r="AI380" i="4" a="1"/>
  <c r="AI380" i="4" s="1"/>
  <c r="AI379" i="4" a="1"/>
  <c r="AI379" i="4" s="1"/>
  <c r="AI378" i="4" a="1"/>
  <c r="AI378" i="4" s="1"/>
  <c r="AI377" i="4" a="1"/>
  <c r="AI377" i="4" s="1"/>
  <c r="AI376" i="4" a="1"/>
  <c r="AI376" i="4" s="1"/>
  <c r="AI375" i="4" a="1"/>
  <c r="AI375" i="4" s="1"/>
  <c r="AI374" i="4" a="1"/>
  <c r="AI374" i="4" s="1"/>
  <c r="AI373" i="4" a="1"/>
  <c r="AI373" i="4" s="1"/>
  <c r="AI372" i="4" a="1"/>
  <c r="AI372" i="4" s="1"/>
  <c r="AI371" i="4" a="1"/>
  <c r="AI371" i="4" s="1"/>
  <c r="AI370" i="4" a="1"/>
  <c r="AI370" i="4" s="1"/>
  <c r="AI369" i="4" a="1"/>
  <c r="AI369" i="4"/>
  <c r="AI368" i="4" a="1"/>
  <c r="AI368" i="4" s="1"/>
  <c r="AI367" i="4" a="1"/>
  <c r="AI367" i="4" s="1"/>
  <c r="AI366" i="4" a="1"/>
  <c r="AI366" i="4" s="1"/>
  <c r="AI365" i="4" a="1"/>
  <c r="AI365" i="4" s="1"/>
  <c r="AI364" i="4" a="1"/>
  <c r="AI364" i="4" s="1"/>
  <c r="AI363" i="4" a="1"/>
  <c r="AI363" i="4" s="1"/>
  <c r="AI362" i="4" a="1"/>
  <c r="AI362" i="4" s="1"/>
  <c r="AI361" i="4" a="1"/>
  <c r="AI361" i="4" s="1"/>
  <c r="AI360" i="4" a="1"/>
  <c r="AI360" i="4" s="1"/>
  <c r="AI359" i="4" a="1"/>
  <c r="AI359" i="4" s="1"/>
  <c r="AI358" i="4" a="1"/>
  <c r="AI358" i="4" s="1"/>
  <c r="AI357" i="4" a="1"/>
  <c r="AI357" i="4" s="1"/>
  <c r="AI356" i="4" a="1"/>
  <c r="AI356" i="4" s="1"/>
  <c r="AI355" i="4" a="1"/>
  <c r="AI355" i="4" s="1"/>
  <c r="AI354" i="4" a="1"/>
  <c r="AI354" i="4" s="1"/>
  <c r="AI353" i="4" a="1"/>
  <c r="AI353" i="4"/>
  <c r="AI352" i="4" a="1"/>
  <c r="AI352" i="4" s="1"/>
  <c r="AI351" i="4" a="1"/>
  <c r="AI351" i="4" s="1"/>
  <c r="AI350" i="4" a="1"/>
  <c r="AI350" i="4" s="1"/>
  <c r="AI349" i="4" a="1"/>
  <c r="AI349" i="4" s="1"/>
  <c r="AI348" i="4" a="1"/>
  <c r="AI348" i="4" s="1"/>
  <c r="AI347" i="4" a="1"/>
  <c r="AI347" i="4" s="1"/>
  <c r="AI346" i="4" a="1"/>
  <c r="AI346" i="4" s="1"/>
  <c r="AI345" i="4" a="1"/>
  <c r="AI345" i="4" s="1"/>
  <c r="AI344" i="4" a="1"/>
  <c r="AI344" i="4" s="1"/>
  <c r="AI343" i="4" a="1"/>
  <c r="AI343" i="4" s="1"/>
  <c r="AI342" i="4" a="1"/>
  <c r="AI342" i="4" s="1"/>
  <c r="AI341" i="4" a="1"/>
  <c r="AI341" i="4" s="1"/>
  <c r="AI340" i="4" a="1"/>
  <c r="AI340" i="4" s="1"/>
  <c r="AI339" i="4" a="1"/>
  <c r="AI339" i="4" s="1"/>
  <c r="AI338" i="4" a="1"/>
  <c r="AI338" i="4" s="1"/>
  <c r="AI337" i="4" a="1"/>
  <c r="AI337" i="4"/>
  <c r="AI336" i="4" a="1"/>
  <c r="AI336" i="4"/>
  <c r="AI335" i="4" a="1"/>
  <c r="AI335" i="4" s="1"/>
  <c r="AI334" i="4" a="1"/>
  <c r="AI334" i="4" s="1"/>
  <c r="AI333" i="4" a="1"/>
  <c r="AI333" i="4" s="1"/>
  <c r="AI332" i="4" a="1"/>
  <c r="AI332" i="4" s="1"/>
  <c r="AI331" i="4" a="1"/>
  <c r="AI331" i="4" s="1"/>
  <c r="AI330" i="4" a="1"/>
  <c r="AI330" i="4" s="1"/>
  <c r="AI329" i="4" a="1"/>
  <c r="AI329" i="4" s="1"/>
  <c r="AI328" i="4" a="1"/>
  <c r="AI328" i="4" s="1"/>
  <c r="AI327" i="4" a="1"/>
  <c r="AI327" i="4" s="1"/>
  <c r="AI326" i="4" a="1"/>
  <c r="AI326" i="4" s="1"/>
  <c r="AI325" i="4" a="1"/>
  <c r="AI325" i="4" s="1"/>
  <c r="AI324" i="4" a="1"/>
  <c r="AI324" i="4" s="1"/>
  <c r="AI323" i="4" a="1"/>
  <c r="AI323" i="4" s="1"/>
  <c r="AI322" i="4" a="1"/>
  <c r="AI322" i="4" s="1"/>
  <c r="AI321" i="4" a="1"/>
  <c r="AI321" i="4"/>
  <c r="AI320" i="4" a="1"/>
  <c r="AI320" i="4" s="1"/>
  <c r="AI319" i="4" a="1"/>
  <c r="AI319" i="4" s="1"/>
  <c r="AI318" i="4" a="1"/>
  <c r="AI318" i="4" s="1"/>
  <c r="AI317" i="4" a="1"/>
  <c r="AI317" i="4" s="1"/>
  <c r="AI316" i="4" a="1"/>
  <c r="AI316" i="4" s="1"/>
  <c r="AI315" i="4" a="1"/>
  <c r="AI315" i="4" s="1"/>
  <c r="AI314" i="4" a="1"/>
  <c r="AI314" i="4" s="1"/>
  <c r="AI313" i="4" a="1"/>
  <c r="AI313" i="4" s="1"/>
  <c r="AI312" i="4" a="1"/>
  <c r="AI312" i="4" s="1"/>
  <c r="AI311" i="4" a="1"/>
  <c r="AI311" i="4" s="1"/>
  <c r="AI310" i="4" a="1"/>
  <c r="AI310" i="4" s="1"/>
  <c r="AI309" i="4" a="1"/>
  <c r="AI309" i="4" s="1"/>
  <c r="AI308" i="4" a="1"/>
  <c r="AI308" i="4" s="1"/>
  <c r="AI307" i="4" a="1"/>
  <c r="AI307" i="4" s="1"/>
  <c r="AI306" i="4" a="1"/>
  <c r="AI306" i="4" s="1"/>
  <c r="AI305" i="4" a="1"/>
  <c r="AI305" i="4"/>
  <c r="AI304" i="4" a="1"/>
  <c r="AI304" i="4" s="1"/>
  <c r="AI303" i="4" a="1"/>
  <c r="AI303" i="4" s="1"/>
  <c r="AI302" i="4" a="1"/>
  <c r="AI302" i="4" s="1"/>
  <c r="AI301" i="4" a="1"/>
  <c r="AI301" i="4" s="1"/>
  <c r="AI300" i="4" a="1"/>
  <c r="AI300" i="4" s="1"/>
  <c r="AI299" i="4" a="1"/>
  <c r="AI299" i="4" s="1"/>
  <c r="AI298" i="4" a="1"/>
  <c r="AI298" i="4" s="1"/>
  <c r="AI297" i="4" a="1"/>
  <c r="AI297" i="4" s="1"/>
  <c r="AI296" i="4" a="1"/>
  <c r="AI296" i="4" s="1"/>
  <c r="AI295" i="4" a="1"/>
  <c r="AI295" i="4" s="1"/>
  <c r="AI294" i="4" a="1"/>
  <c r="AI294" i="4" s="1"/>
  <c r="AI293" i="4" a="1"/>
  <c r="AI293" i="4" s="1"/>
  <c r="AI292" i="4" a="1"/>
  <c r="AI292" i="4" s="1"/>
  <c r="AI291" i="4" a="1"/>
  <c r="AI291" i="4" s="1"/>
  <c r="AI290" i="4" a="1"/>
  <c r="AI290" i="4" s="1"/>
  <c r="AI289" i="4" a="1"/>
  <c r="AI289" i="4"/>
  <c r="AI288" i="4" a="1"/>
  <c r="AI288" i="4"/>
  <c r="AI287" i="4" a="1"/>
  <c r="AI287" i="4" s="1"/>
  <c r="AI286" i="4" a="1"/>
  <c r="AI286" i="4" s="1"/>
  <c r="AI285" i="4" a="1"/>
  <c r="AI285" i="4" s="1"/>
  <c r="AI284" i="4" a="1"/>
  <c r="AI284" i="4" s="1"/>
  <c r="AI283" i="4" a="1"/>
  <c r="AI283" i="4" s="1"/>
  <c r="AI282" i="4" a="1"/>
  <c r="AI282" i="4" s="1"/>
  <c r="AI281" i="4" a="1"/>
  <c r="AI281" i="4" s="1"/>
  <c r="AI280" i="4" a="1"/>
  <c r="AI280" i="4" s="1"/>
  <c r="AI279" i="4" a="1"/>
  <c r="AI279" i="4" s="1"/>
  <c r="AI278" i="4" a="1"/>
  <c r="AI278" i="4" s="1"/>
  <c r="AI277" i="4" a="1"/>
  <c r="AI277" i="4" s="1"/>
  <c r="AI276" i="4" a="1"/>
  <c r="AI276" i="4" s="1"/>
  <c r="AI275" i="4" a="1"/>
  <c r="AI275" i="4" s="1"/>
  <c r="AI274" i="4" a="1"/>
  <c r="AI274" i="4" s="1"/>
  <c r="AI273" i="4" a="1"/>
  <c r="AI273" i="4"/>
  <c r="AI272" i="4" a="1"/>
  <c r="AI272" i="4" s="1"/>
  <c r="AI271" i="4" a="1"/>
  <c r="AI271" i="4" s="1"/>
  <c r="AI270" i="4" a="1"/>
  <c r="AI270" i="4" s="1"/>
  <c r="AI269" i="4" a="1"/>
  <c r="AI269" i="4" s="1"/>
  <c r="AI268" i="4" a="1"/>
  <c r="AI268" i="4" s="1"/>
  <c r="AI267" i="4" a="1"/>
  <c r="AI267" i="4" s="1"/>
  <c r="AI266" i="4" a="1"/>
  <c r="AI266" i="4" s="1"/>
  <c r="AI265" i="4" a="1"/>
  <c r="AI265" i="4" s="1"/>
  <c r="AI264" i="4" a="1"/>
  <c r="AI264" i="4" s="1"/>
  <c r="AI263" i="4" a="1"/>
  <c r="AI263" i="4" s="1"/>
  <c r="AI262" i="4" a="1"/>
  <c r="AI262" i="4" s="1"/>
  <c r="AI261" i="4" a="1"/>
  <c r="AI261" i="4" s="1"/>
  <c r="AI260" i="4" a="1"/>
  <c r="AI260" i="4" s="1"/>
  <c r="AI259" i="4" a="1"/>
  <c r="AI259" i="4" s="1"/>
  <c r="AI258" i="4" a="1"/>
  <c r="AI258" i="4" s="1"/>
  <c r="AI257" i="4" a="1"/>
  <c r="AI257" i="4"/>
  <c r="AI256" i="4" a="1"/>
  <c r="AI256" i="4" s="1"/>
  <c r="AI255" i="4" a="1"/>
  <c r="AI255" i="4" s="1"/>
  <c r="AI254" i="4" a="1"/>
  <c r="AI254" i="4" s="1"/>
  <c r="AI253" i="4" a="1"/>
  <c r="AI253" i="4" s="1"/>
  <c r="AI252" i="4" a="1"/>
  <c r="AI252" i="4" s="1"/>
  <c r="AI251" i="4" a="1"/>
  <c r="AI251" i="4" s="1"/>
  <c r="AI250" i="4" a="1"/>
  <c r="AI250" i="4" s="1"/>
  <c r="AI249" i="4" a="1"/>
  <c r="AI249" i="4" s="1"/>
  <c r="AI248" i="4" a="1"/>
  <c r="AI248" i="4" s="1"/>
  <c r="AI247" i="4" a="1"/>
  <c r="AI247" i="4" s="1"/>
  <c r="AI246" i="4" a="1"/>
  <c r="AI246" i="4" s="1"/>
  <c r="AI245" i="4" a="1"/>
  <c r="AI245" i="4" s="1"/>
  <c r="AI244" i="4" a="1"/>
  <c r="AI244" i="4" s="1"/>
  <c r="AI243" i="4" a="1"/>
  <c r="AI243" i="4" s="1"/>
  <c r="AI242" i="4" a="1"/>
  <c r="AI242" i="4" s="1"/>
  <c r="AI241" i="4" a="1"/>
  <c r="AI241" i="4"/>
  <c r="AI240" i="4" a="1"/>
  <c r="AI240" i="4" s="1"/>
  <c r="AI239" i="4" a="1"/>
  <c r="AI239" i="4" s="1"/>
  <c r="AI238" i="4" a="1"/>
  <c r="AI238" i="4" s="1"/>
  <c r="AI237" i="4" a="1"/>
  <c r="AI237" i="4" s="1"/>
  <c r="AI236" i="4" a="1"/>
  <c r="AI236" i="4" s="1"/>
  <c r="AI235" i="4" a="1"/>
  <c r="AI235" i="4" s="1"/>
  <c r="AI234" i="4" a="1"/>
  <c r="AI234" i="4" s="1"/>
  <c r="AI233" i="4" a="1"/>
  <c r="AI233" i="4" s="1"/>
  <c r="AI232" i="4" a="1"/>
  <c r="AI232" i="4" s="1"/>
  <c r="AI231" i="4" a="1"/>
  <c r="AI231" i="4" s="1"/>
  <c r="AI230" i="4" a="1"/>
  <c r="AI230" i="4" s="1"/>
  <c r="AI229" i="4" a="1"/>
  <c r="AI229" i="4"/>
  <c r="AI228" i="4" a="1"/>
  <c r="AI228" i="4" s="1"/>
  <c r="AI227" i="4" a="1"/>
  <c r="AI227" i="4" s="1"/>
  <c r="AI226" i="4" a="1"/>
  <c r="AI226" i="4" s="1"/>
  <c r="AI225" i="4" a="1"/>
  <c r="AI225" i="4" s="1"/>
  <c r="AI224" i="4" a="1"/>
  <c r="AI224" i="4" s="1"/>
  <c r="AI223" i="4" a="1"/>
  <c r="AI223" i="4" s="1"/>
  <c r="AI222" i="4" a="1"/>
  <c r="AI222" i="4" s="1"/>
  <c r="AI221" i="4" a="1"/>
  <c r="AI221" i="4" s="1"/>
  <c r="AI220" i="4" a="1"/>
  <c r="AI220" i="4"/>
  <c r="AI219" i="4" a="1"/>
  <c r="AI219" i="4" s="1"/>
  <c r="AI218" i="4" a="1"/>
  <c r="AI218" i="4" s="1"/>
  <c r="AI217" i="4" a="1"/>
  <c r="AI217" i="4" s="1"/>
  <c r="AI216" i="4" a="1"/>
  <c r="AI216" i="4" s="1"/>
  <c r="AI215" i="4" a="1"/>
  <c r="AI215" i="4" s="1"/>
  <c r="AI214" i="4" a="1"/>
  <c r="AI214" i="4" s="1"/>
  <c r="AI213" i="4" a="1"/>
  <c r="AI213" i="4"/>
  <c r="AI212" i="4" a="1"/>
  <c r="AI212" i="4" s="1"/>
  <c r="AI211" i="4" a="1"/>
  <c r="AI211" i="4" s="1"/>
  <c r="AI210" i="4" a="1"/>
  <c r="AI210" i="4"/>
  <c r="AI209" i="4" a="1"/>
  <c r="AI209" i="4" s="1"/>
  <c r="AI208" i="4" a="1"/>
  <c r="AI208" i="4" s="1"/>
  <c r="AI207" i="4" a="1"/>
  <c r="AI207" i="4" s="1"/>
  <c r="AI206" i="4" a="1"/>
  <c r="AI206" i="4" s="1"/>
  <c r="AI205" i="4" a="1"/>
  <c r="AI205" i="4" s="1"/>
  <c r="AI204" i="4" a="1"/>
  <c r="AI204" i="4" s="1"/>
  <c r="AI203" i="4" a="1"/>
  <c r="AI203" i="4" s="1"/>
  <c r="AI202" i="4" a="1"/>
  <c r="AI202" i="4" s="1"/>
  <c r="AI201" i="4" a="1"/>
  <c r="AI201" i="4" s="1"/>
  <c r="AI200" i="4" a="1"/>
  <c r="AI200" i="4" s="1"/>
  <c r="AI199" i="4" a="1"/>
  <c r="AI199" i="4" s="1"/>
  <c r="AI198" i="4" a="1"/>
  <c r="AI198" i="4" s="1"/>
  <c r="AI197" i="4" a="1"/>
  <c r="AI197" i="4" s="1"/>
  <c r="AI196" i="4" a="1"/>
  <c r="AI196" i="4" s="1"/>
  <c r="AI195" i="4" a="1"/>
  <c r="AI195" i="4" s="1"/>
  <c r="AI194" i="4" a="1"/>
  <c r="AI194" i="4" s="1"/>
  <c r="AI193" i="4" a="1"/>
  <c r="AI193" i="4" s="1"/>
  <c r="AI192" i="4" a="1"/>
  <c r="AI192" i="4" s="1"/>
  <c r="AI191" i="4" a="1"/>
  <c r="AI191" i="4" s="1"/>
  <c r="AI190" i="4" a="1"/>
  <c r="AI190" i="4" s="1"/>
  <c r="AI189" i="4" a="1"/>
  <c r="AI189" i="4" s="1"/>
  <c r="AI188" i="4" a="1"/>
  <c r="AI188" i="4" s="1"/>
  <c r="AI187" i="4" a="1"/>
  <c r="AI187" i="4" s="1"/>
  <c r="AI186" i="4" a="1"/>
  <c r="AI186" i="4" s="1"/>
  <c r="AI185" i="4" a="1"/>
  <c r="AI185" i="4" s="1"/>
  <c r="AI184" i="4" a="1"/>
  <c r="AI184" i="4" s="1"/>
  <c r="AI183" i="4" a="1"/>
  <c r="AI183" i="4" s="1"/>
  <c r="AI182" i="4" a="1"/>
  <c r="AI182" i="4" s="1"/>
  <c r="AI181" i="4" a="1"/>
  <c r="AI181" i="4"/>
  <c r="AI180" i="4" a="1"/>
  <c r="AI180" i="4" s="1"/>
  <c r="AI179" i="4" a="1"/>
  <c r="AI179" i="4" s="1"/>
  <c r="AI178" i="4" a="1"/>
  <c r="AI178" i="4"/>
  <c r="AI177" i="4" a="1"/>
  <c r="AI177" i="4" s="1"/>
  <c r="AI176" i="4" a="1"/>
  <c r="AI176" i="4" s="1"/>
  <c r="AI175" i="4" a="1"/>
  <c r="AI175" i="4" s="1"/>
  <c r="AI174" i="4" a="1"/>
  <c r="AI174" i="4" s="1"/>
  <c r="AI173" i="4" a="1"/>
  <c r="AI173" i="4" s="1"/>
  <c r="AI172" i="4" a="1"/>
  <c r="AI172" i="4" s="1"/>
  <c r="AI171" i="4" a="1"/>
  <c r="AI171" i="4" s="1"/>
  <c r="AI170" i="4" a="1"/>
  <c r="AI170" i="4" s="1"/>
  <c r="AI169" i="4" a="1"/>
  <c r="AI169" i="4" s="1"/>
  <c r="AI168" i="4" a="1"/>
  <c r="AI168" i="4" s="1"/>
  <c r="AI167" i="4" a="1"/>
  <c r="AI167" i="4" s="1"/>
  <c r="AI166" i="4" a="1"/>
  <c r="AI166" i="4" s="1"/>
  <c r="AI165" i="4" a="1"/>
  <c r="AI165" i="4"/>
  <c r="AI164" i="4" a="1"/>
  <c r="AI164" i="4" s="1"/>
  <c r="AI163" i="4" a="1"/>
  <c r="AI163" i="4" s="1"/>
  <c r="AI162" i="4" a="1"/>
  <c r="AI162" i="4" s="1"/>
  <c r="AI161" i="4" a="1"/>
  <c r="AI161" i="4" s="1"/>
  <c r="AI160" i="4" a="1"/>
  <c r="AI160" i="4" s="1"/>
  <c r="AI159" i="4" a="1"/>
  <c r="AI159" i="4" s="1"/>
  <c r="AI158" i="4" a="1"/>
  <c r="AI158" i="4" s="1"/>
  <c r="AI157" i="4" a="1"/>
  <c r="AI157" i="4" s="1"/>
  <c r="AI156" i="4" a="1"/>
  <c r="AI156" i="4" s="1"/>
  <c r="AI155" i="4" a="1"/>
  <c r="AI155" i="4" s="1"/>
  <c r="AI154" i="4" a="1"/>
  <c r="AI154" i="4" s="1"/>
  <c r="AI153" i="4" a="1"/>
  <c r="AI153" i="4" s="1"/>
  <c r="AI152" i="4" a="1"/>
  <c r="AI152" i="4" s="1"/>
  <c r="AI151" i="4" a="1"/>
  <c r="AI151" i="4" s="1"/>
  <c r="AI150" i="4" a="1"/>
  <c r="AI150" i="4" s="1"/>
  <c r="AI149" i="4" a="1"/>
  <c r="AI149" i="4"/>
  <c r="AI148" i="4" a="1"/>
  <c r="AI148" i="4" s="1"/>
  <c r="AI147" i="4" a="1"/>
  <c r="AI147" i="4" s="1"/>
  <c r="AI146" i="4" a="1"/>
  <c r="AI146" i="4" s="1"/>
  <c r="AI145" i="4" a="1"/>
  <c r="AI145" i="4" s="1"/>
  <c r="AI144" i="4" a="1"/>
  <c r="AI144" i="4" s="1"/>
  <c r="AI143" i="4" a="1"/>
  <c r="AI143" i="4" s="1"/>
  <c r="AI142" i="4" a="1"/>
  <c r="AI142" i="4"/>
  <c r="AI141" i="4" a="1"/>
  <c r="AI141" i="4" s="1"/>
  <c r="AI140" i="4" a="1"/>
  <c r="AI140" i="4" s="1"/>
  <c r="AI139" i="4" a="1"/>
  <c r="AI139" i="4" s="1"/>
  <c r="AI138" i="4" a="1"/>
  <c r="AI138" i="4" s="1"/>
  <c r="AI137" i="4" a="1"/>
  <c r="AI137" i="4" s="1"/>
  <c r="AI136" i="4" a="1"/>
  <c r="AI136" i="4" s="1"/>
  <c r="AI135" i="4" a="1"/>
  <c r="AI135" i="4" s="1"/>
  <c r="AI134" i="4" a="1"/>
  <c r="AI134" i="4" s="1"/>
  <c r="AI133" i="4" a="1"/>
  <c r="AI133" i="4"/>
  <c r="AI132" i="4" a="1"/>
  <c r="AI132" i="4" s="1"/>
  <c r="AI131" i="4" a="1"/>
  <c r="AI131" i="4" s="1"/>
  <c r="AI130" i="4" a="1"/>
  <c r="AI130" i="4" s="1"/>
  <c r="AI129" i="4" a="1"/>
  <c r="AI129" i="4" s="1"/>
  <c r="AI128" i="4" a="1"/>
  <c r="AI128" i="4" s="1"/>
  <c r="AI127" i="4" a="1"/>
  <c r="AI127" i="4" s="1"/>
  <c r="AI126" i="4" a="1"/>
  <c r="AI126" i="4"/>
  <c r="AI125" i="4" a="1"/>
  <c r="AI125" i="4" s="1"/>
  <c r="AI124" i="4" a="1"/>
  <c r="AI124" i="4" s="1"/>
  <c r="AI123" i="4" a="1"/>
  <c r="AI123" i="4" s="1"/>
  <c r="AI122" i="4" a="1"/>
  <c r="AI122" i="4" s="1"/>
  <c r="AI121" i="4" a="1"/>
  <c r="AI121" i="4" s="1"/>
  <c r="AI120" i="4" a="1"/>
  <c r="AI120" i="4" s="1"/>
  <c r="AI119" i="4" a="1"/>
  <c r="AI119" i="4" s="1"/>
  <c r="AI118" i="4" a="1"/>
  <c r="AI118" i="4" s="1"/>
  <c r="AI117" i="4" a="1"/>
  <c r="AI117" i="4"/>
  <c r="AI116" i="4" a="1"/>
  <c r="AI116" i="4" s="1"/>
  <c r="AI115" i="4" a="1"/>
  <c r="AI115" i="4" s="1"/>
  <c r="AI114" i="4" a="1"/>
  <c r="AI114" i="4" s="1"/>
  <c r="AI113" i="4" a="1"/>
  <c r="AI113" i="4" s="1"/>
  <c r="AI112" i="4" a="1"/>
  <c r="AI112" i="4" s="1"/>
  <c r="AI111" i="4" a="1"/>
  <c r="AI111" i="4" s="1"/>
  <c r="AI110" i="4" a="1"/>
  <c r="AI110" i="4"/>
  <c r="AI109" i="4" a="1"/>
  <c r="AI109" i="4" s="1"/>
  <c r="AI108" i="4" a="1"/>
  <c r="AI108" i="4" s="1"/>
  <c r="AI107" i="4" a="1"/>
  <c r="AI107" i="4" s="1"/>
  <c r="AI106" i="4" a="1"/>
  <c r="AI106" i="4" s="1"/>
  <c r="AI105" i="4" a="1"/>
  <c r="AI105" i="4" s="1"/>
  <c r="AI104" i="4" a="1"/>
  <c r="AI104" i="4" s="1"/>
  <c r="AI103" i="4" a="1"/>
  <c r="AI103" i="4" s="1"/>
  <c r="AI102" i="4" a="1"/>
  <c r="AI102" i="4" s="1"/>
  <c r="AI101" i="4" a="1"/>
  <c r="AI101" i="4"/>
  <c r="AI100" i="4" a="1"/>
  <c r="AI100" i="4" s="1"/>
  <c r="AI99" i="4" a="1"/>
  <c r="AI99" i="4" s="1"/>
  <c r="AI98" i="4" a="1"/>
  <c r="AI98" i="4" s="1"/>
  <c r="AI97" i="4" a="1"/>
  <c r="AI97" i="4" s="1"/>
  <c r="AI96" i="4" a="1"/>
  <c r="AI96" i="4" s="1"/>
  <c r="AI95" i="4" a="1"/>
  <c r="AI95" i="4" s="1"/>
  <c r="AI94" i="4" a="1"/>
  <c r="AI94" i="4"/>
  <c r="AI93" i="4" a="1"/>
  <c r="AI93" i="4" s="1"/>
  <c r="AI92" i="4" a="1"/>
  <c r="AI92" i="4" s="1"/>
  <c r="AI91" i="4" a="1"/>
  <c r="AI91" i="4" s="1"/>
  <c r="AI90" i="4" a="1"/>
  <c r="AI90" i="4" s="1"/>
  <c r="AI89" i="4" a="1"/>
  <c r="AI89" i="4" s="1"/>
  <c r="AI88" i="4" a="1"/>
  <c r="AI88" i="4" s="1"/>
  <c r="AI87" i="4" a="1"/>
  <c r="AI87" i="4" s="1"/>
  <c r="AI86" i="4" a="1"/>
  <c r="AI86" i="4" s="1"/>
  <c r="AI85" i="4" a="1"/>
  <c r="AI85" i="4"/>
  <c r="AI84" i="4" a="1"/>
  <c r="AI84" i="4" s="1"/>
  <c r="AI83" i="4" a="1"/>
  <c r="AI83" i="4" s="1"/>
  <c r="AI82" i="4" a="1"/>
  <c r="AI82" i="4" s="1"/>
  <c r="AI81" i="4" a="1"/>
  <c r="AI81" i="4" s="1"/>
  <c r="AI80" i="4" a="1"/>
  <c r="AI80" i="4" s="1"/>
  <c r="AI79" i="4" a="1"/>
  <c r="AI79" i="4" s="1"/>
  <c r="AI78" i="4" a="1"/>
  <c r="AI78" i="4"/>
  <c r="AI77" i="4" a="1"/>
  <c r="AI77" i="4" s="1"/>
  <c r="AI76" i="4" a="1"/>
  <c r="AI76" i="4" s="1"/>
  <c r="AI75" i="4" a="1"/>
  <c r="AI75" i="4" s="1"/>
  <c r="AI74" i="4" a="1"/>
  <c r="AI74" i="4" s="1"/>
  <c r="AI73" i="4" a="1"/>
  <c r="AI73" i="4" s="1"/>
  <c r="AI72" i="4" a="1"/>
  <c r="AI72" i="4" s="1"/>
  <c r="AI71" i="4" a="1"/>
  <c r="AI71" i="4" s="1"/>
  <c r="AI70" i="4" a="1"/>
  <c r="AI70" i="4" s="1"/>
  <c r="AI69" i="4" a="1"/>
  <c r="AI69" i="4"/>
  <c r="AI68" i="4" a="1"/>
  <c r="AI68" i="4" s="1"/>
  <c r="AI67" i="4" a="1"/>
  <c r="AI67" i="4" s="1"/>
  <c r="AI66" i="4" a="1"/>
  <c r="AI66" i="4" s="1"/>
  <c r="AI65" i="4" a="1"/>
  <c r="AI65" i="4" s="1"/>
  <c r="AI64" i="4" a="1"/>
  <c r="AI64" i="4" s="1"/>
  <c r="AI63" i="4" a="1"/>
  <c r="AI63" i="4" s="1"/>
  <c r="AI62" i="4" a="1"/>
  <c r="AI62" i="4"/>
  <c r="AI61" i="4" a="1"/>
  <c r="AI61" i="4" s="1"/>
  <c r="AI60" i="4" a="1"/>
  <c r="AI60" i="4" s="1"/>
  <c r="AI59" i="4" a="1"/>
  <c r="AI59" i="4" s="1"/>
  <c r="AI58" i="4" a="1"/>
  <c r="AI58" i="4" s="1"/>
  <c r="AI57" i="4" a="1"/>
  <c r="AI57" i="4" s="1"/>
  <c r="AI56" i="4" a="1"/>
  <c r="AI56" i="4" s="1"/>
  <c r="AI55" i="4" a="1"/>
  <c r="AI55" i="4" s="1"/>
  <c r="AI54" i="4" a="1"/>
  <c r="AI54" i="4" s="1"/>
  <c r="AI53" i="4" a="1"/>
  <c r="AI53" i="4"/>
  <c r="AI52" i="4" a="1"/>
  <c r="AI52" i="4" s="1"/>
  <c r="AI51" i="4" a="1"/>
  <c r="AI51" i="4" s="1"/>
  <c r="AI50" i="4" a="1"/>
  <c r="AI50" i="4" s="1"/>
  <c r="AI49" i="4" a="1"/>
  <c r="AI49" i="4" s="1"/>
  <c r="AI48" i="4" a="1"/>
  <c r="AI48" i="4" s="1"/>
  <c r="AI47" i="4" a="1"/>
  <c r="AI47" i="4" s="1"/>
  <c r="AI46" i="4" a="1"/>
  <c r="AI46" i="4"/>
  <c r="AI45" i="4" a="1"/>
  <c r="AI45" i="4" s="1"/>
  <c r="AI44" i="4" a="1"/>
  <c r="AI44" i="4" s="1"/>
  <c r="AI43" i="4" a="1"/>
  <c r="AI43" i="4" s="1"/>
  <c r="AI42" i="4" a="1"/>
  <c r="AI42" i="4" s="1"/>
  <c r="AI41" i="4" a="1"/>
  <c r="AI41" i="4" s="1"/>
  <c r="AI40" i="4" a="1"/>
  <c r="AI40" i="4" s="1"/>
  <c r="AI39" i="4" a="1"/>
  <c r="AI39" i="4" s="1"/>
  <c r="AI38" i="4" a="1"/>
  <c r="AI38" i="4" s="1"/>
  <c r="AI37" i="4" a="1"/>
  <c r="AI37" i="4" s="1"/>
  <c r="AI36" i="4" a="1"/>
  <c r="AI36" i="4" s="1"/>
  <c r="AI35" i="4" a="1"/>
  <c r="AI35" i="4" s="1"/>
  <c r="AI34" i="4" a="1"/>
  <c r="AI34" i="4" s="1"/>
  <c r="AI33" i="4" a="1"/>
  <c r="AI33" i="4" s="1"/>
  <c r="AI32" i="4" a="1"/>
  <c r="AI32" i="4" s="1"/>
  <c r="AI31" i="4" a="1"/>
  <c r="AI31" i="4" s="1"/>
  <c r="AI30" i="4" a="1"/>
  <c r="AI30" i="4" s="1"/>
  <c r="AI29" i="4" a="1"/>
  <c r="AI29" i="4" s="1"/>
  <c r="AI28" i="4" a="1"/>
  <c r="AI28" i="4" s="1"/>
  <c r="AI27" i="4" a="1"/>
  <c r="AI27" i="4" s="1"/>
  <c r="AI26" i="4" a="1"/>
  <c r="AI26" i="4" s="1"/>
  <c r="AI25" i="4" a="1"/>
  <c r="AI25" i="4" s="1"/>
  <c r="AI24" i="4" a="1"/>
  <c r="AI24" i="4" s="1"/>
  <c r="AI23" i="4" a="1"/>
  <c r="AI23" i="4" s="1"/>
  <c r="AI22" i="4" a="1"/>
  <c r="AI22" i="4" s="1"/>
  <c r="AI21" i="4" a="1"/>
  <c r="AI21" i="4" s="1"/>
  <c r="AI20" i="4" a="1"/>
  <c r="AI20" i="4" s="1"/>
  <c r="AI19" i="4" a="1"/>
  <c r="AI19" i="4" s="1"/>
  <c r="AI18" i="4" a="1"/>
  <c r="AI18" i="4" s="1"/>
  <c r="AI17" i="4" a="1"/>
  <c r="AI17" i="4" s="1"/>
  <c r="AI16" i="4" a="1"/>
  <c r="AI16" i="4" s="1"/>
  <c r="AI15" i="4" a="1"/>
  <c r="AI15" i="4" s="1"/>
  <c r="AI14" i="4" a="1"/>
  <c r="AI14" i="4" s="1"/>
  <c r="AI13" i="4" a="1"/>
  <c r="AI13" i="4" s="1"/>
  <c r="AI12" i="4" a="1"/>
  <c r="AI12" i="4" s="1"/>
  <c r="AI11" i="4" a="1"/>
  <c r="AI11" i="4" s="1"/>
  <c r="AI10" i="4" a="1"/>
  <c r="AI10" i="4" s="1"/>
  <c r="AI9" i="4" a="1"/>
  <c r="AI9" i="4" s="1"/>
  <c r="AH9" i="4" a="1"/>
  <c r="AH9" i="4" s="1"/>
  <c r="AG9" i="4" a="1"/>
  <c r="AG9" i="4" s="1"/>
  <c r="AF9" i="4" a="1"/>
  <c r="AF9" i="4" s="1"/>
  <c r="AE9" i="4" a="1"/>
  <c r="AE9" i="4" s="1"/>
  <c r="AD9" i="4" a="1"/>
  <c r="AD9" i="4" s="1"/>
  <c r="AC9" i="4" a="1"/>
  <c r="AC9" i="4" s="1"/>
  <c r="AB9" i="4" a="1"/>
  <c r="AB9" i="4" s="1"/>
  <c r="AA9" i="4" a="1"/>
  <c r="AA9" i="4" s="1"/>
  <c r="Z9" i="4" a="1"/>
  <c r="Z9" i="4" s="1"/>
  <c r="Y9" i="4" a="1"/>
  <c r="Y9" i="4" s="1"/>
  <c r="X9" i="4" a="1"/>
  <c r="X9" i="4" s="1"/>
  <c r="W9" i="4" a="1"/>
  <c r="W9" i="4" s="1"/>
  <c r="V9" i="4" a="1"/>
  <c r="V9" i="4" s="1"/>
  <c r="U9" i="4" a="1"/>
  <c r="U9" i="4" s="1"/>
  <c r="T9" i="4" a="1"/>
  <c r="T9" i="4" s="1"/>
  <c r="S9" i="4" a="1"/>
  <c r="S9" i="4" s="1"/>
  <c r="R9" i="4" a="1"/>
  <c r="R9" i="4" s="1"/>
  <c r="Q9" i="4" a="1"/>
  <c r="Q9" i="4" s="1"/>
  <c r="P9" i="4" a="1"/>
  <c r="P9" i="4" s="1"/>
  <c r="O9" i="4" a="1"/>
  <c r="O9" i="4" s="1"/>
  <c r="N9" i="4" a="1"/>
  <c r="N9" i="4"/>
  <c r="M9" i="4" a="1"/>
  <c r="M9" i="4" s="1"/>
  <c r="L9" i="4" a="1"/>
  <c r="L9" i="4" s="1"/>
  <c r="K9" i="4" a="1"/>
  <c r="K9" i="4" s="1"/>
  <c r="J9" i="4" a="1"/>
  <c r="J9" i="4" s="1"/>
  <c r="I9" i="4" a="1"/>
  <c r="I9" i="4" s="1"/>
  <c r="H9" i="4" a="1"/>
  <c r="H9" i="4" s="1"/>
  <c r="G9" i="4" a="1"/>
  <c r="G9" i="4" s="1"/>
  <c r="F9" i="4" a="1"/>
  <c r="F9" i="4" s="1"/>
  <c r="E9" i="4" a="1"/>
  <c r="E9" i="4" s="1"/>
  <c r="D9" i="4" a="1"/>
  <c r="D9" i="4" s="1"/>
  <c r="C9" i="4" a="1"/>
  <c r="C9" i="4" s="1"/>
  <c r="F7" i="4" a="1"/>
  <c r="F7" i="4" s="1"/>
  <c r="C3" i="4" a="1"/>
  <c r="C3" i="4" s="1"/>
  <c r="AG6" i="4" s="1" a="1"/>
  <c r="AG6" i="4" s="1"/>
  <c r="AI551" i="3" a="1"/>
  <c r="AI551" i="3" s="1"/>
  <c r="AI550" i="3" a="1"/>
  <c r="AI550" i="3" s="1"/>
  <c r="AI549" i="3" a="1"/>
  <c r="AI549" i="3" s="1"/>
  <c r="AI548" i="3" a="1"/>
  <c r="AI548" i="3"/>
  <c r="AI547" i="3" a="1"/>
  <c r="AI547" i="3" s="1"/>
  <c r="AI546" i="3" a="1"/>
  <c r="AI546" i="3" s="1"/>
  <c r="AI545" i="3" a="1"/>
  <c r="AI545" i="3" s="1"/>
  <c r="AI544" i="3" a="1"/>
  <c r="AI544" i="3" s="1"/>
  <c r="AI543" i="3" a="1"/>
  <c r="AI543" i="3" s="1"/>
  <c r="AI542" i="3" a="1"/>
  <c r="AI542" i="3" s="1"/>
  <c r="AI541" i="3" a="1"/>
  <c r="AI541" i="3" s="1"/>
  <c r="AI540" i="3" a="1"/>
  <c r="AI540" i="3" s="1"/>
  <c r="AI539" i="3" a="1"/>
  <c r="AI539" i="3" s="1"/>
  <c r="AI538" i="3" a="1"/>
  <c r="AI538" i="3" s="1"/>
  <c r="AI537" i="3" a="1"/>
  <c r="AI537" i="3" s="1"/>
  <c r="AI536" i="3" a="1"/>
  <c r="AI536" i="3" s="1"/>
  <c r="AI535" i="3" a="1"/>
  <c r="AI535" i="3" s="1"/>
  <c r="AI534" i="3" a="1"/>
  <c r="AI534" i="3" s="1"/>
  <c r="AI533" i="3" a="1"/>
  <c r="AI533" i="3"/>
  <c r="AI532" i="3" a="1"/>
  <c r="AI532" i="3" s="1"/>
  <c r="AI531" i="3" a="1"/>
  <c r="AI531" i="3" s="1"/>
  <c r="AI530" i="3" a="1"/>
  <c r="AI530" i="3" s="1"/>
  <c r="AI529" i="3" a="1"/>
  <c r="AI529" i="3" s="1"/>
  <c r="AI528" i="3" a="1"/>
  <c r="AI528" i="3" s="1"/>
  <c r="AI527" i="3" a="1"/>
  <c r="AI527" i="3" s="1"/>
  <c r="AI526" i="3" a="1"/>
  <c r="AI526" i="3" s="1"/>
  <c r="AI525" i="3" a="1"/>
  <c r="AI525" i="3" s="1"/>
  <c r="AI524" i="3" a="1"/>
  <c r="AI524" i="3" s="1"/>
  <c r="AI523" i="3" a="1"/>
  <c r="AI523" i="3" s="1"/>
  <c r="AI522" i="3" a="1"/>
  <c r="AI522" i="3" s="1"/>
  <c r="AI521" i="3" a="1"/>
  <c r="AI521" i="3"/>
  <c r="AI520" i="3" a="1"/>
  <c r="AI520" i="3" s="1"/>
  <c r="AI519" i="3" a="1"/>
  <c r="AI519" i="3" s="1"/>
  <c r="AI518" i="3" a="1"/>
  <c r="AI518" i="3" s="1"/>
  <c r="AI517" i="3" a="1"/>
  <c r="AI517" i="3" s="1"/>
  <c r="AI516" i="3" a="1"/>
  <c r="AI516" i="3"/>
  <c r="AI515" i="3" a="1"/>
  <c r="AI515" i="3" s="1"/>
  <c r="AI514" i="3" a="1"/>
  <c r="AI514" i="3" s="1"/>
  <c r="AI513" i="3" a="1"/>
  <c r="AI513" i="3" s="1"/>
  <c r="AI512" i="3" a="1"/>
  <c r="AI512" i="3"/>
  <c r="AI511" i="3" a="1"/>
  <c r="AI511" i="3" s="1"/>
  <c r="AI510" i="3" a="1"/>
  <c r="AI510" i="3" s="1"/>
  <c r="AI509" i="3" a="1"/>
  <c r="AI509" i="3" s="1"/>
  <c r="AI508" i="3" a="1"/>
  <c r="AI508" i="3" s="1"/>
  <c r="AI507" i="3" a="1"/>
  <c r="AI507" i="3" s="1"/>
  <c r="AI506" i="3" a="1"/>
  <c r="AI506" i="3" s="1"/>
  <c r="AI505" i="3" a="1"/>
  <c r="AI505" i="3" s="1"/>
  <c r="AI504" i="3" a="1"/>
  <c r="AI504" i="3" s="1"/>
  <c r="AI503" i="3" a="1"/>
  <c r="AI503" i="3" s="1"/>
  <c r="AI502" i="3" a="1"/>
  <c r="AI502" i="3" s="1"/>
  <c r="AI501" i="3" a="1"/>
  <c r="AI501" i="3" s="1"/>
  <c r="AI500" i="3" a="1"/>
  <c r="AI500" i="3"/>
  <c r="AI499" i="3" a="1"/>
  <c r="AI499" i="3" s="1"/>
  <c r="AI498" i="3" a="1"/>
  <c r="AI498" i="3" s="1"/>
  <c r="AI497" i="3" a="1"/>
  <c r="AI497" i="3" s="1"/>
  <c r="AI496" i="3" a="1"/>
  <c r="AI496" i="3" s="1"/>
  <c r="AI495" i="3" a="1"/>
  <c r="AI495" i="3" s="1"/>
  <c r="AI494" i="3" a="1"/>
  <c r="AI494" i="3" s="1"/>
  <c r="AI493" i="3" a="1"/>
  <c r="AI493" i="3" s="1"/>
  <c r="AI492" i="3" a="1"/>
  <c r="AI492" i="3" s="1"/>
  <c r="AI491" i="3" a="1"/>
  <c r="AI491" i="3" s="1"/>
  <c r="AI490" i="3" a="1"/>
  <c r="AI490" i="3" s="1"/>
  <c r="AI489" i="3" a="1"/>
  <c r="AI489" i="3"/>
  <c r="AI488" i="3" a="1"/>
  <c r="AI488" i="3" s="1"/>
  <c r="AI487" i="3" a="1"/>
  <c r="AI487" i="3" s="1"/>
  <c r="AI486" i="3" a="1"/>
  <c r="AI486" i="3" s="1"/>
  <c r="AI485" i="3" a="1"/>
  <c r="AI485" i="3" s="1"/>
  <c r="AI484" i="3" a="1"/>
  <c r="AI484" i="3" s="1"/>
  <c r="AI483" i="3" a="1"/>
  <c r="AI483" i="3" s="1"/>
  <c r="AI482" i="3" a="1"/>
  <c r="AI482" i="3" s="1"/>
  <c r="AI481" i="3" a="1"/>
  <c r="AI481" i="3" s="1"/>
  <c r="AI480" i="3" a="1"/>
  <c r="AI480" i="3" s="1"/>
  <c r="AI479" i="3" a="1"/>
  <c r="AI479" i="3" s="1"/>
  <c r="AI478" i="3" a="1"/>
  <c r="AI478" i="3" s="1"/>
  <c r="AI477" i="3" a="1"/>
  <c r="AI477" i="3" s="1"/>
  <c r="AI476" i="3" a="1"/>
  <c r="AI476" i="3" s="1"/>
  <c r="AI475" i="3" a="1"/>
  <c r="AI475" i="3" s="1"/>
  <c r="AI474" i="3" a="1"/>
  <c r="AI474" i="3" s="1"/>
  <c r="AI473" i="3" a="1"/>
  <c r="AI473" i="3" s="1"/>
  <c r="AI472" i="3" a="1"/>
  <c r="AI472" i="3" s="1"/>
  <c r="AI471" i="3" a="1"/>
  <c r="AI471" i="3" s="1"/>
  <c r="AI470" i="3" a="1"/>
  <c r="AI470" i="3" s="1"/>
  <c r="AI469" i="3" a="1"/>
  <c r="AI469" i="3" s="1"/>
  <c r="AI468" i="3" a="1"/>
  <c r="AI468" i="3"/>
  <c r="AI467" i="3" a="1"/>
  <c r="AI467" i="3" s="1"/>
  <c r="AI466" i="3" a="1"/>
  <c r="AI466" i="3" s="1"/>
  <c r="AI465" i="3" a="1"/>
  <c r="AI465" i="3" s="1"/>
  <c r="AI464" i="3" a="1"/>
  <c r="AI464" i="3" s="1"/>
  <c r="AI463" i="3" a="1"/>
  <c r="AI463" i="3" s="1"/>
  <c r="AI462" i="3" a="1"/>
  <c r="AI462" i="3" s="1"/>
  <c r="AI461" i="3" a="1"/>
  <c r="AI461" i="3" s="1"/>
  <c r="AI460" i="3" a="1"/>
  <c r="AI460" i="3" s="1"/>
  <c r="AI459" i="3" a="1"/>
  <c r="AI459" i="3" s="1"/>
  <c r="AI458" i="3" a="1"/>
  <c r="AI458" i="3" s="1"/>
  <c r="AI457" i="3" a="1"/>
  <c r="AI457" i="3"/>
  <c r="AI456" i="3" a="1"/>
  <c r="AI456" i="3" s="1"/>
  <c r="AI455" i="3" a="1"/>
  <c r="AI455" i="3" s="1"/>
  <c r="AI454" i="3" a="1"/>
  <c r="AI454" i="3" s="1"/>
  <c r="AI453" i="3" a="1"/>
  <c r="AI453" i="3" s="1"/>
  <c r="AI452" i="3" a="1"/>
  <c r="AI452" i="3" s="1"/>
  <c r="AI451" i="3" a="1"/>
  <c r="AI451" i="3" s="1"/>
  <c r="AI450" i="3" a="1"/>
  <c r="AI450" i="3" s="1"/>
  <c r="AI449" i="3" a="1"/>
  <c r="AI449" i="3" s="1"/>
  <c r="AI448" i="3" a="1"/>
  <c r="AI448" i="3" s="1"/>
  <c r="AI447" i="3" a="1"/>
  <c r="AI447" i="3" s="1"/>
  <c r="AI446" i="3" a="1"/>
  <c r="AI446" i="3" s="1"/>
  <c r="AI445" i="3" a="1"/>
  <c r="AI445" i="3" s="1"/>
  <c r="AI444" i="3" a="1"/>
  <c r="AI444" i="3" s="1"/>
  <c r="AI443" i="3" a="1"/>
  <c r="AI443" i="3" s="1"/>
  <c r="AI442" i="3" a="1"/>
  <c r="AI442" i="3" s="1"/>
  <c r="AI441" i="3" a="1"/>
  <c r="AI441" i="3" s="1"/>
  <c r="AI440" i="3" a="1"/>
  <c r="AI440" i="3" s="1"/>
  <c r="AI439" i="3" a="1"/>
  <c r="AI439" i="3" s="1"/>
  <c r="AI438" i="3" a="1"/>
  <c r="AI438" i="3" s="1"/>
  <c r="AI437" i="3" a="1"/>
  <c r="AI437" i="3" s="1"/>
  <c r="AI436" i="3" a="1"/>
  <c r="AI436" i="3"/>
  <c r="AI435" i="3" a="1"/>
  <c r="AI435" i="3" s="1"/>
  <c r="AI434" i="3" a="1"/>
  <c r="AI434" i="3" s="1"/>
  <c r="AI433" i="3" a="1"/>
  <c r="AI433" i="3" s="1"/>
  <c r="AI432" i="3" a="1"/>
  <c r="AI432" i="3" s="1"/>
  <c r="AI431" i="3" a="1"/>
  <c r="AI431" i="3" s="1"/>
  <c r="AI430" i="3" a="1"/>
  <c r="AI430" i="3"/>
  <c r="AI429" i="3" a="1"/>
  <c r="AI429" i="3" s="1"/>
  <c r="AI428" i="3" a="1"/>
  <c r="AI428" i="3" s="1"/>
  <c r="AI427" i="3" a="1"/>
  <c r="AI427" i="3" s="1"/>
  <c r="AI426" i="3" a="1"/>
  <c r="AI426" i="3" s="1"/>
  <c r="AI425" i="3" a="1"/>
  <c r="AI425" i="3" s="1"/>
  <c r="AI424" i="3" a="1"/>
  <c r="AI424" i="3" s="1"/>
  <c r="AI423" i="3" a="1"/>
  <c r="AI423" i="3" s="1"/>
  <c r="AI422" i="3" a="1"/>
  <c r="AI422" i="3"/>
  <c r="AI421" i="3" a="1"/>
  <c r="AI421" i="3" s="1"/>
  <c r="AI420" i="3" a="1"/>
  <c r="AI420" i="3" s="1"/>
  <c r="AI419" i="3" a="1"/>
  <c r="AI419" i="3" s="1"/>
  <c r="AI418" i="3" a="1"/>
  <c r="AI418" i="3"/>
  <c r="AI417" i="3" a="1"/>
  <c r="AI417" i="3" s="1"/>
  <c r="AI416" i="3" a="1"/>
  <c r="AI416" i="3" s="1"/>
  <c r="AI415" i="3" a="1"/>
  <c r="AI415" i="3" s="1"/>
  <c r="AI414" i="3" a="1"/>
  <c r="AI414" i="3"/>
  <c r="AI413" i="3" a="1"/>
  <c r="AI413" i="3" s="1"/>
  <c r="AI412" i="3" a="1"/>
  <c r="AI412" i="3" s="1"/>
  <c r="AI411" i="3" a="1"/>
  <c r="AI411" i="3" s="1"/>
  <c r="AI410" i="3" a="1"/>
  <c r="AI410" i="3"/>
  <c r="AI409" i="3" a="1"/>
  <c r="AI409" i="3" s="1"/>
  <c r="AI408" i="3" a="1"/>
  <c r="AI408" i="3" s="1"/>
  <c r="AI407" i="3" a="1"/>
  <c r="AI407" i="3" s="1"/>
  <c r="AI406" i="3" a="1"/>
  <c r="AI406" i="3" s="1"/>
  <c r="AI405" i="3" a="1"/>
  <c r="AI405" i="3" s="1"/>
  <c r="AI404" i="3" a="1"/>
  <c r="AI404" i="3" s="1"/>
  <c r="AI403" i="3" a="1"/>
  <c r="AI403" i="3" s="1"/>
  <c r="AI402" i="3" a="1"/>
  <c r="AI402" i="3" s="1"/>
  <c r="AI401" i="3" a="1"/>
  <c r="AI401" i="3" s="1"/>
  <c r="AI400" i="3" a="1"/>
  <c r="AI400" i="3" s="1"/>
  <c r="AI399" i="3" a="1"/>
  <c r="AI399" i="3" s="1"/>
  <c r="AI398" i="3" a="1"/>
  <c r="AI398" i="3" s="1"/>
  <c r="AI397" i="3" a="1"/>
  <c r="AI397" i="3" s="1"/>
  <c r="AI396" i="3" a="1"/>
  <c r="AI396" i="3" s="1"/>
  <c r="AI395" i="3" a="1"/>
  <c r="AI395" i="3" s="1"/>
  <c r="AI394" i="3" a="1"/>
  <c r="AI394" i="3" s="1"/>
  <c r="AI393" i="3" a="1"/>
  <c r="AI393" i="3" s="1"/>
  <c r="AI392" i="3" a="1"/>
  <c r="AI392" i="3" s="1"/>
  <c r="AI391" i="3" a="1"/>
  <c r="AI391" i="3" s="1"/>
  <c r="AI390" i="3" a="1"/>
  <c r="AI390" i="3" s="1"/>
  <c r="AI389" i="3" a="1"/>
  <c r="AI389" i="3" s="1"/>
  <c r="AI388" i="3" a="1"/>
  <c r="AI388" i="3" s="1"/>
  <c r="AI387" i="3" a="1"/>
  <c r="AI387" i="3" s="1"/>
  <c r="AI386" i="3" a="1"/>
  <c r="AI386" i="3" s="1"/>
  <c r="AI385" i="3" a="1"/>
  <c r="AI385" i="3" s="1"/>
  <c r="AI384" i="3" a="1"/>
  <c r="AI384" i="3" s="1"/>
  <c r="AI383" i="3" a="1"/>
  <c r="AI383" i="3" s="1"/>
  <c r="AI382" i="3" a="1"/>
  <c r="AI382" i="3" s="1"/>
  <c r="AI381" i="3" a="1"/>
  <c r="AI381" i="3" s="1"/>
  <c r="AI380" i="3" a="1"/>
  <c r="AI380" i="3" s="1"/>
  <c r="AI379" i="3" a="1"/>
  <c r="AI379" i="3" s="1"/>
  <c r="AI378" i="3" a="1"/>
  <c r="AI378" i="3" s="1"/>
  <c r="AI377" i="3" a="1"/>
  <c r="AI377" i="3" s="1"/>
  <c r="AI376" i="3" a="1"/>
  <c r="AI376" i="3" s="1"/>
  <c r="AI375" i="3" a="1"/>
  <c r="AI375" i="3" s="1"/>
  <c r="AI374" i="3" a="1"/>
  <c r="AI374" i="3" s="1"/>
  <c r="AI373" i="3" a="1"/>
  <c r="AI373" i="3" s="1"/>
  <c r="AI372" i="3" a="1"/>
  <c r="AI372" i="3" s="1"/>
  <c r="AI371" i="3" a="1"/>
  <c r="AI371" i="3" s="1"/>
  <c r="AI370" i="3" a="1"/>
  <c r="AI370" i="3" s="1"/>
  <c r="AI369" i="3" a="1"/>
  <c r="AI369" i="3" s="1"/>
  <c r="AI368" i="3" a="1"/>
  <c r="AI368" i="3" s="1"/>
  <c r="AI367" i="3" a="1"/>
  <c r="AI367" i="3" s="1"/>
  <c r="AI366" i="3" a="1"/>
  <c r="AI366" i="3" s="1"/>
  <c r="AI365" i="3" a="1"/>
  <c r="AI365" i="3" s="1"/>
  <c r="AI364" i="3" a="1"/>
  <c r="AI364" i="3" s="1"/>
  <c r="AI363" i="3" a="1"/>
  <c r="AI363" i="3" s="1"/>
  <c r="AI362" i="3" a="1"/>
  <c r="AI362" i="3" s="1"/>
  <c r="AI361" i="3" a="1"/>
  <c r="AI361" i="3" s="1"/>
  <c r="AI360" i="3" a="1"/>
  <c r="AI360" i="3" s="1"/>
  <c r="AI359" i="3" a="1"/>
  <c r="AI359" i="3" s="1"/>
  <c r="AI358" i="3" a="1"/>
  <c r="AI358" i="3" s="1"/>
  <c r="AI357" i="3" a="1"/>
  <c r="AI357" i="3" s="1"/>
  <c r="AI356" i="3" a="1"/>
  <c r="AI356" i="3" s="1"/>
  <c r="AI355" i="3" a="1"/>
  <c r="AI355" i="3" s="1"/>
  <c r="AI354" i="3" a="1"/>
  <c r="AI354" i="3" s="1"/>
  <c r="AI353" i="3" a="1"/>
  <c r="AI353" i="3" s="1"/>
  <c r="AI352" i="3" a="1"/>
  <c r="AI352" i="3" s="1"/>
  <c r="AI351" i="3" a="1"/>
  <c r="AI351" i="3" s="1"/>
  <c r="AI350" i="3" a="1"/>
  <c r="AI350" i="3" s="1"/>
  <c r="AI349" i="3" a="1"/>
  <c r="AI349" i="3" s="1"/>
  <c r="AI348" i="3" a="1"/>
  <c r="AI348" i="3" s="1"/>
  <c r="AI347" i="3" a="1"/>
  <c r="AI347" i="3" s="1"/>
  <c r="AI346" i="3" a="1"/>
  <c r="AI346" i="3" s="1"/>
  <c r="AI345" i="3" a="1"/>
  <c r="AI345" i="3" s="1"/>
  <c r="AI344" i="3" a="1"/>
  <c r="AI344" i="3" s="1"/>
  <c r="AI343" i="3" a="1"/>
  <c r="AI343" i="3" s="1"/>
  <c r="AI342" i="3" a="1"/>
  <c r="AI342" i="3" s="1"/>
  <c r="AI341" i="3" a="1"/>
  <c r="AI341" i="3" s="1"/>
  <c r="AI340" i="3" a="1"/>
  <c r="AI340" i="3" s="1"/>
  <c r="AI339" i="3" a="1"/>
  <c r="AI339" i="3" s="1"/>
  <c r="AI338" i="3" a="1"/>
  <c r="AI338" i="3" s="1"/>
  <c r="AI337" i="3" a="1"/>
  <c r="AI337" i="3" s="1"/>
  <c r="AI336" i="3" a="1"/>
  <c r="AI336" i="3" s="1"/>
  <c r="AI335" i="3" a="1"/>
  <c r="AI335" i="3" s="1"/>
  <c r="AI334" i="3" a="1"/>
  <c r="AI334" i="3" s="1"/>
  <c r="AI333" i="3" a="1"/>
  <c r="AI333" i="3" s="1"/>
  <c r="AI332" i="3" a="1"/>
  <c r="AI332" i="3" s="1"/>
  <c r="AI331" i="3" a="1"/>
  <c r="AI331" i="3" s="1"/>
  <c r="AI330" i="3" a="1"/>
  <c r="AI330" i="3" s="1"/>
  <c r="AI329" i="3" a="1"/>
  <c r="AI329" i="3" s="1"/>
  <c r="AI328" i="3" a="1"/>
  <c r="AI328" i="3" s="1"/>
  <c r="AI327" i="3" a="1"/>
  <c r="AI327" i="3" s="1"/>
  <c r="AI326" i="3" a="1"/>
  <c r="AI326" i="3" s="1"/>
  <c r="AI325" i="3" a="1"/>
  <c r="AI325" i="3" s="1"/>
  <c r="AI324" i="3" a="1"/>
  <c r="AI324" i="3" s="1"/>
  <c r="AI323" i="3" a="1"/>
  <c r="AI323" i="3" s="1"/>
  <c r="AI322" i="3" a="1"/>
  <c r="AI322" i="3" s="1"/>
  <c r="AI321" i="3" a="1"/>
  <c r="AI321" i="3" s="1"/>
  <c r="AI320" i="3" a="1"/>
  <c r="AI320" i="3" s="1"/>
  <c r="AI319" i="3" a="1"/>
  <c r="AI319" i="3" s="1"/>
  <c r="AI318" i="3" a="1"/>
  <c r="AI318" i="3" s="1"/>
  <c r="AI317" i="3" a="1"/>
  <c r="AI317" i="3" s="1"/>
  <c r="AI316" i="3" a="1"/>
  <c r="AI316" i="3" s="1"/>
  <c r="AI315" i="3" a="1"/>
  <c r="AI315" i="3" s="1"/>
  <c r="AI314" i="3" a="1"/>
  <c r="AI314" i="3" s="1"/>
  <c r="AI313" i="3" a="1"/>
  <c r="AI313" i="3" s="1"/>
  <c r="AI312" i="3" a="1"/>
  <c r="AI312" i="3" s="1"/>
  <c r="AI311" i="3" a="1"/>
  <c r="AI311" i="3" s="1"/>
  <c r="AI310" i="3" a="1"/>
  <c r="AI310" i="3" s="1"/>
  <c r="AI309" i="3" a="1"/>
  <c r="AI309" i="3" s="1"/>
  <c r="AI308" i="3" a="1"/>
  <c r="AI308" i="3" s="1"/>
  <c r="AI307" i="3" a="1"/>
  <c r="AI307" i="3" s="1"/>
  <c r="AI306" i="3" a="1"/>
  <c r="AI306" i="3" s="1"/>
  <c r="AI305" i="3" a="1"/>
  <c r="AI305" i="3" s="1"/>
  <c r="AI304" i="3" a="1"/>
  <c r="AI304" i="3" s="1"/>
  <c r="AI303" i="3" a="1"/>
  <c r="AI303" i="3" s="1"/>
  <c r="AI302" i="3" a="1"/>
  <c r="AI302" i="3" s="1"/>
  <c r="AI301" i="3" a="1"/>
  <c r="AI301" i="3" s="1"/>
  <c r="AI300" i="3" a="1"/>
  <c r="AI300" i="3" s="1"/>
  <c r="AI299" i="3" a="1"/>
  <c r="AI299" i="3" s="1"/>
  <c r="AI298" i="3" a="1"/>
  <c r="AI298" i="3" s="1"/>
  <c r="AI297" i="3" a="1"/>
  <c r="AI297" i="3" s="1"/>
  <c r="AI296" i="3" a="1"/>
  <c r="AI296" i="3" s="1"/>
  <c r="AI295" i="3" a="1"/>
  <c r="AI295" i="3" s="1"/>
  <c r="AI294" i="3" a="1"/>
  <c r="AI294" i="3" s="1"/>
  <c r="AI293" i="3" a="1"/>
  <c r="AI293" i="3" s="1"/>
  <c r="AI292" i="3" a="1"/>
  <c r="AI292" i="3" s="1"/>
  <c r="AI291" i="3" a="1"/>
  <c r="AI291" i="3" s="1"/>
  <c r="AI290" i="3" a="1"/>
  <c r="AI290" i="3" s="1"/>
  <c r="AI289" i="3" a="1"/>
  <c r="AI289" i="3" s="1"/>
  <c r="AI288" i="3" a="1"/>
  <c r="AI288" i="3" s="1"/>
  <c r="AI287" i="3" a="1"/>
  <c r="AI287" i="3" s="1"/>
  <c r="AI286" i="3" a="1"/>
  <c r="AI286" i="3" s="1"/>
  <c r="AI285" i="3" a="1"/>
  <c r="AI285" i="3" s="1"/>
  <c r="AI284" i="3" a="1"/>
  <c r="AI284" i="3" s="1"/>
  <c r="AI283" i="3" a="1"/>
  <c r="AI283" i="3" s="1"/>
  <c r="AI282" i="3" a="1"/>
  <c r="AI282" i="3" s="1"/>
  <c r="AI281" i="3" a="1"/>
  <c r="AI281" i="3" s="1"/>
  <c r="AI280" i="3" a="1"/>
  <c r="AI280" i="3" s="1"/>
  <c r="AI279" i="3" a="1"/>
  <c r="AI279" i="3" s="1"/>
  <c r="AI278" i="3" a="1"/>
  <c r="AI278" i="3" s="1"/>
  <c r="AI277" i="3" a="1"/>
  <c r="AI277" i="3" s="1"/>
  <c r="AI276" i="3" a="1"/>
  <c r="AI276" i="3" s="1"/>
  <c r="AI275" i="3" a="1"/>
  <c r="AI275" i="3" s="1"/>
  <c r="AI274" i="3" a="1"/>
  <c r="AI274" i="3" s="1"/>
  <c r="AI273" i="3" a="1"/>
  <c r="AI273" i="3" s="1"/>
  <c r="AI272" i="3" a="1"/>
  <c r="AI272" i="3" s="1"/>
  <c r="AI271" i="3" a="1"/>
  <c r="AI271" i="3" s="1"/>
  <c r="AI270" i="3" a="1"/>
  <c r="AI270" i="3" s="1"/>
  <c r="AI269" i="3" a="1"/>
  <c r="AI269" i="3" s="1"/>
  <c r="AI268" i="3" a="1"/>
  <c r="AI268" i="3" s="1"/>
  <c r="AI267" i="3" a="1"/>
  <c r="AI267" i="3" s="1"/>
  <c r="AI266" i="3" a="1"/>
  <c r="AI266" i="3" s="1"/>
  <c r="AI265" i="3" a="1"/>
  <c r="AI265" i="3" s="1"/>
  <c r="AI264" i="3" a="1"/>
  <c r="AI264" i="3" s="1"/>
  <c r="AI263" i="3" a="1"/>
  <c r="AI263" i="3" s="1"/>
  <c r="AI262" i="3" a="1"/>
  <c r="AI262" i="3" s="1"/>
  <c r="AI261" i="3" a="1"/>
  <c r="AI261" i="3" s="1"/>
  <c r="AI260" i="3" a="1"/>
  <c r="AI260" i="3" s="1"/>
  <c r="AI259" i="3" a="1"/>
  <c r="AI259" i="3" s="1"/>
  <c r="AI258" i="3" a="1"/>
  <c r="AI258" i="3" s="1"/>
  <c r="AI257" i="3" a="1"/>
  <c r="AI257" i="3" s="1"/>
  <c r="AI256" i="3" a="1"/>
  <c r="AI256" i="3" s="1"/>
  <c r="AI255" i="3" a="1"/>
  <c r="AI255" i="3" s="1"/>
  <c r="AI254" i="3" a="1"/>
  <c r="AI254" i="3" s="1"/>
  <c r="AI253" i="3" a="1"/>
  <c r="AI253" i="3" s="1"/>
  <c r="AI252" i="3" a="1"/>
  <c r="AI252" i="3" s="1"/>
  <c r="AI251" i="3" a="1"/>
  <c r="AI251" i="3" s="1"/>
  <c r="AI250" i="3" a="1"/>
  <c r="AI250" i="3" s="1"/>
  <c r="AI249" i="3" a="1"/>
  <c r="AI249" i="3" s="1"/>
  <c r="AI248" i="3" a="1"/>
  <c r="AI248" i="3" s="1"/>
  <c r="AI247" i="3" a="1"/>
  <c r="AI247" i="3" s="1"/>
  <c r="AI246" i="3" a="1"/>
  <c r="AI246" i="3" s="1"/>
  <c r="AI245" i="3" a="1"/>
  <c r="AI245" i="3" s="1"/>
  <c r="AI244" i="3" a="1"/>
  <c r="AI244" i="3" s="1"/>
  <c r="AI243" i="3" a="1"/>
  <c r="AI243" i="3" s="1"/>
  <c r="AI242" i="3" a="1"/>
  <c r="AI242" i="3" s="1"/>
  <c r="AI241" i="3" a="1"/>
  <c r="AI241" i="3" s="1"/>
  <c r="AI240" i="3" a="1"/>
  <c r="AI240" i="3" s="1"/>
  <c r="AI239" i="3" a="1"/>
  <c r="AI239" i="3" s="1"/>
  <c r="AI238" i="3" a="1"/>
  <c r="AI238" i="3" s="1"/>
  <c r="AI237" i="3" a="1"/>
  <c r="AI237" i="3" s="1"/>
  <c r="AI236" i="3" a="1"/>
  <c r="AI236" i="3" s="1"/>
  <c r="AI235" i="3" a="1"/>
  <c r="AI235" i="3" s="1"/>
  <c r="AI234" i="3" a="1"/>
  <c r="AI234" i="3" s="1"/>
  <c r="AI233" i="3" a="1"/>
  <c r="AI233" i="3" s="1"/>
  <c r="AI232" i="3" a="1"/>
  <c r="AI232" i="3" s="1"/>
  <c r="AI231" i="3" a="1"/>
  <c r="AI231" i="3" s="1"/>
  <c r="AI230" i="3" a="1"/>
  <c r="AI230" i="3" s="1"/>
  <c r="AI229" i="3" a="1"/>
  <c r="AI229" i="3" s="1"/>
  <c r="AI228" i="3" a="1"/>
  <c r="AI228" i="3" s="1"/>
  <c r="AI227" i="3" a="1"/>
  <c r="AI227" i="3" s="1"/>
  <c r="AI226" i="3" a="1"/>
  <c r="AI226" i="3" s="1"/>
  <c r="AI225" i="3" a="1"/>
  <c r="AI225" i="3" s="1"/>
  <c r="AI224" i="3" a="1"/>
  <c r="AI224" i="3" s="1"/>
  <c r="AI223" i="3" a="1"/>
  <c r="AI223" i="3" s="1"/>
  <c r="AI222" i="3" a="1"/>
  <c r="AI222" i="3" s="1"/>
  <c r="AI221" i="3" a="1"/>
  <c r="AI221" i="3" s="1"/>
  <c r="AI220" i="3" a="1"/>
  <c r="AI220" i="3" s="1"/>
  <c r="AI219" i="3" a="1"/>
  <c r="AI219" i="3" s="1"/>
  <c r="AI218" i="3" a="1"/>
  <c r="AI218" i="3" s="1"/>
  <c r="AI217" i="3" a="1"/>
  <c r="AI217" i="3" s="1"/>
  <c r="AI216" i="3" a="1"/>
  <c r="AI216" i="3" s="1"/>
  <c r="AI215" i="3" a="1"/>
  <c r="AI215" i="3" s="1"/>
  <c r="AI214" i="3" a="1"/>
  <c r="AI214" i="3" s="1"/>
  <c r="AI213" i="3" a="1"/>
  <c r="AI213" i="3" s="1"/>
  <c r="AI212" i="3" a="1"/>
  <c r="AI212" i="3" s="1"/>
  <c r="AI211" i="3" a="1"/>
  <c r="AI211" i="3" s="1"/>
  <c r="AI210" i="3" a="1"/>
  <c r="AI210" i="3" s="1"/>
  <c r="AI209" i="3" a="1"/>
  <c r="AI209" i="3" s="1"/>
  <c r="AI208" i="3" a="1"/>
  <c r="AI208" i="3" s="1"/>
  <c r="AI207" i="3" a="1"/>
  <c r="AI207" i="3" s="1"/>
  <c r="AI206" i="3" a="1"/>
  <c r="AI206" i="3" s="1"/>
  <c r="AI205" i="3" a="1"/>
  <c r="AI205" i="3" s="1"/>
  <c r="AI204" i="3" a="1"/>
  <c r="AI204" i="3" s="1"/>
  <c r="AI203" i="3" a="1"/>
  <c r="AI203" i="3" s="1"/>
  <c r="AI202" i="3" a="1"/>
  <c r="AI202" i="3" s="1"/>
  <c r="AI201" i="3" a="1"/>
  <c r="AI201" i="3" s="1"/>
  <c r="AI200" i="3" a="1"/>
  <c r="AI200" i="3" s="1"/>
  <c r="AI199" i="3" a="1"/>
  <c r="AI199" i="3" s="1"/>
  <c r="AI198" i="3" a="1"/>
  <c r="AI198" i="3" s="1"/>
  <c r="AI197" i="3" a="1"/>
  <c r="AI197" i="3" s="1"/>
  <c r="AI196" i="3" a="1"/>
  <c r="AI196" i="3" s="1"/>
  <c r="AI195" i="3" a="1"/>
  <c r="AI195" i="3" s="1"/>
  <c r="AI194" i="3" a="1"/>
  <c r="AI194" i="3" s="1"/>
  <c r="AI193" i="3" a="1"/>
  <c r="AI193" i="3" s="1"/>
  <c r="AI192" i="3" a="1"/>
  <c r="AI192" i="3" s="1"/>
  <c r="AI191" i="3" a="1"/>
  <c r="AI191" i="3" s="1"/>
  <c r="AI190" i="3" a="1"/>
  <c r="AI190" i="3" s="1"/>
  <c r="AI189" i="3" a="1"/>
  <c r="AI189" i="3" s="1"/>
  <c r="AI188" i="3" a="1"/>
  <c r="AI188" i="3" s="1"/>
  <c r="AI187" i="3" a="1"/>
  <c r="AI187" i="3" s="1"/>
  <c r="AI186" i="3" a="1"/>
  <c r="AI186" i="3" s="1"/>
  <c r="AI185" i="3" a="1"/>
  <c r="AI185" i="3" s="1"/>
  <c r="AI184" i="3" a="1"/>
  <c r="AI184" i="3" s="1"/>
  <c r="AI183" i="3" a="1"/>
  <c r="AI183" i="3" s="1"/>
  <c r="AI182" i="3" a="1"/>
  <c r="AI182" i="3" s="1"/>
  <c r="AI181" i="3" a="1"/>
  <c r="AI181" i="3" s="1"/>
  <c r="AI180" i="3" a="1"/>
  <c r="AI180" i="3" s="1"/>
  <c r="AI179" i="3" a="1"/>
  <c r="AI179" i="3" s="1"/>
  <c r="AI178" i="3" a="1"/>
  <c r="AI178" i="3" s="1"/>
  <c r="AI177" i="3" a="1"/>
  <c r="AI177" i="3" s="1"/>
  <c r="AI176" i="3" a="1"/>
  <c r="AI176" i="3" s="1"/>
  <c r="AI175" i="3" a="1"/>
  <c r="AI175" i="3" s="1"/>
  <c r="AI174" i="3" a="1"/>
  <c r="AI174" i="3" s="1"/>
  <c r="AI173" i="3" a="1"/>
  <c r="AI173" i="3" s="1"/>
  <c r="AI172" i="3" a="1"/>
  <c r="AI172" i="3" s="1"/>
  <c r="AI171" i="3" a="1"/>
  <c r="AI171" i="3" s="1"/>
  <c r="AI170" i="3" a="1"/>
  <c r="AI170" i="3" s="1"/>
  <c r="AI169" i="3" a="1"/>
  <c r="AI169" i="3" s="1"/>
  <c r="AI168" i="3" a="1"/>
  <c r="AI168" i="3" s="1"/>
  <c r="AI167" i="3" a="1"/>
  <c r="AI167" i="3" s="1"/>
  <c r="AI166" i="3" a="1"/>
  <c r="AI166" i="3" s="1"/>
  <c r="AI165" i="3" a="1"/>
  <c r="AI165" i="3" s="1"/>
  <c r="AI164" i="3" a="1"/>
  <c r="AI164" i="3" s="1"/>
  <c r="AI163" i="3" a="1"/>
  <c r="AI163" i="3" s="1"/>
  <c r="AI162" i="3" a="1"/>
  <c r="AI162" i="3" s="1"/>
  <c r="AI161" i="3" a="1"/>
  <c r="AI161" i="3" s="1"/>
  <c r="AI160" i="3" a="1"/>
  <c r="AI160" i="3" s="1"/>
  <c r="AI159" i="3" a="1"/>
  <c r="AI159" i="3" s="1"/>
  <c r="AI158" i="3" a="1"/>
  <c r="AI158" i="3" s="1"/>
  <c r="AI157" i="3" a="1"/>
  <c r="AI157" i="3" s="1"/>
  <c r="AI156" i="3" a="1"/>
  <c r="AI156" i="3" s="1"/>
  <c r="AI155" i="3" a="1"/>
  <c r="AI155" i="3" s="1"/>
  <c r="AI154" i="3" a="1"/>
  <c r="AI154" i="3" s="1"/>
  <c r="AI153" i="3" a="1"/>
  <c r="AI153" i="3" s="1"/>
  <c r="AI152" i="3" a="1"/>
  <c r="AI152" i="3" s="1"/>
  <c r="AI151" i="3" a="1"/>
  <c r="AI151" i="3" s="1"/>
  <c r="AI150" i="3" a="1"/>
  <c r="AI150" i="3" s="1"/>
  <c r="AI149" i="3" a="1"/>
  <c r="AI149" i="3" s="1"/>
  <c r="AI148" i="3" a="1"/>
  <c r="AI148" i="3" s="1"/>
  <c r="AI147" i="3" a="1"/>
  <c r="AI147" i="3" s="1"/>
  <c r="AI146" i="3" a="1"/>
  <c r="AI146" i="3" s="1"/>
  <c r="AI145" i="3" a="1"/>
  <c r="AI145" i="3" s="1"/>
  <c r="AI144" i="3" a="1"/>
  <c r="AI144" i="3" s="1"/>
  <c r="AI143" i="3" a="1"/>
  <c r="AI143" i="3" s="1"/>
  <c r="AI142" i="3" a="1"/>
  <c r="AI142" i="3" s="1"/>
  <c r="AI141" i="3" a="1"/>
  <c r="AI141" i="3" s="1"/>
  <c r="AI140" i="3" a="1"/>
  <c r="AI140" i="3" s="1"/>
  <c r="AI139" i="3" a="1"/>
  <c r="AI139" i="3" s="1"/>
  <c r="AI138" i="3" a="1"/>
  <c r="AI138" i="3" s="1"/>
  <c r="AI137" i="3" a="1"/>
  <c r="AI137" i="3" s="1"/>
  <c r="AI136" i="3" a="1"/>
  <c r="AI136" i="3" s="1"/>
  <c r="AI135" i="3" a="1"/>
  <c r="AI135" i="3" s="1"/>
  <c r="AI134" i="3" a="1"/>
  <c r="AI134" i="3" s="1"/>
  <c r="AI133" i="3" a="1"/>
  <c r="AI133" i="3" s="1"/>
  <c r="AI132" i="3" a="1"/>
  <c r="AI132" i="3" s="1"/>
  <c r="AI131" i="3" a="1"/>
  <c r="AI131" i="3" s="1"/>
  <c r="AI130" i="3" a="1"/>
  <c r="AI130" i="3" s="1"/>
  <c r="AI129" i="3" a="1"/>
  <c r="AI129" i="3" s="1"/>
  <c r="AI128" i="3" a="1"/>
  <c r="AI128" i="3" s="1"/>
  <c r="AI127" i="3" a="1"/>
  <c r="AI127" i="3" s="1"/>
  <c r="AI126" i="3" a="1"/>
  <c r="AI126" i="3" s="1"/>
  <c r="AI125" i="3" a="1"/>
  <c r="AI125" i="3" s="1"/>
  <c r="AI124" i="3" a="1"/>
  <c r="AI124" i="3" s="1"/>
  <c r="AI123" i="3" a="1"/>
  <c r="AI123" i="3" s="1"/>
  <c r="AI122" i="3" a="1"/>
  <c r="AI122" i="3" s="1"/>
  <c r="AI121" i="3" a="1"/>
  <c r="AI121" i="3" s="1"/>
  <c r="AI120" i="3" a="1"/>
  <c r="AI120" i="3" s="1"/>
  <c r="AI119" i="3" a="1"/>
  <c r="AI119" i="3" s="1"/>
  <c r="AI118" i="3" a="1"/>
  <c r="AI118" i="3" s="1"/>
  <c r="AI117" i="3" a="1"/>
  <c r="AI117" i="3" s="1"/>
  <c r="AI116" i="3" a="1"/>
  <c r="AI116" i="3" s="1"/>
  <c r="AI115" i="3" a="1"/>
  <c r="AI115" i="3" s="1"/>
  <c r="AI114" i="3" a="1"/>
  <c r="AI114" i="3" s="1"/>
  <c r="AI113" i="3" a="1"/>
  <c r="AI113" i="3" s="1"/>
  <c r="AI112" i="3" a="1"/>
  <c r="AI112" i="3" s="1"/>
  <c r="AI111" i="3" a="1"/>
  <c r="AI111" i="3" s="1"/>
  <c r="AI110" i="3" a="1"/>
  <c r="AI110" i="3" s="1"/>
  <c r="AI109" i="3" a="1"/>
  <c r="AI109" i="3" s="1"/>
  <c r="AI108" i="3" a="1"/>
  <c r="AI108" i="3" s="1"/>
  <c r="AI107" i="3" a="1"/>
  <c r="AI107" i="3" s="1"/>
  <c r="AI106" i="3" a="1"/>
  <c r="AI106" i="3" s="1"/>
  <c r="AI105" i="3" a="1"/>
  <c r="AI105" i="3" s="1"/>
  <c r="AI104" i="3" a="1"/>
  <c r="AI104" i="3" s="1"/>
  <c r="AI103" i="3" a="1"/>
  <c r="AI103" i="3" s="1"/>
  <c r="AI102" i="3" a="1"/>
  <c r="AI102" i="3" s="1"/>
  <c r="AI101" i="3" a="1"/>
  <c r="AI101" i="3" s="1"/>
  <c r="AI100" i="3" a="1"/>
  <c r="AI100" i="3" s="1"/>
  <c r="AI99" i="3" a="1"/>
  <c r="AI99" i="3" s="1"/>
  <c r="AI98" i="3" a="1"/>
  <c r="AI98" i="3" s="1"/>
  <c r="AI97" i="3" a="1"/>
  <c r="AI97" i="3" s="1"/>
  <c r="AI96" i="3" a="1"/>
  <c r="AI96" i="3" s="1"/>
  <c r="AI95" i="3" a="1"/>
  <c r="AI95" i="3" s="1"/>
  <c r="AI94" i="3" a="1"/>
  <c r="AI94" i="3" s="1"/>
  <c r="AI93" i="3" a="1"/>
  <c r="AI93" i="3" s="1"/>
  <c r="AI92" i="3" a="1"/>
  <c r="AI92" i="3" s="1"/>
  <c r="AI91" i="3" a="1"/>
  <c r="AI91" i="3" s="1"/>
  <c r="AI90" i="3" a="1"/>
  <c r="AI90" i="3" s="1"/>
  <c r="AI89" i="3" a="1"/>
  <c r="AI89" i="3" s="1"/>
  <c r="AI88" i="3" a="1"/>
  <c r="AI88" i="3" s="1"/>
  <c r="AI87" i="3" a="1"/>
  <c r="AI87" i="3" s="1"/>
  <c r="AI86" i="3" a="1"/>
  <c r="AI86" i="3" s="1"/>
  <c r="AI85" i="3" a="1"/>
  <c r="AI85" i="3" s="1"/>
  <c r="AI84" i="3" a="1"/>
  <c r="AI84" i="3" s="1"/>
  <c r="AI83" i="3" a="1"/>
  <c r="AI83" i="3" s="1"/>
  <c r="AI82" i="3" a="1"/>
  <c r="AI82" i="3" s="1"/>
  <c r="AI81" i="3" a="1"/>
  <c r="AI81" i="3" s="1"/>
  <c r="AI80" i="3" a="1"/>
  <c r="AI80" i="3" s="1"/>
  <c r="AI79" i="3" a="1"/>
  <c r="AI79" i="3" s="1"/>
  <c r="AI78" i="3" a="1"/>
  <c r="AI78" i="3" s="1"/>
  <c r="AI77" i="3" a="1"/>
  <c r="AI77" i="3" s="1"/>
  <c r="AI76" i="3" a="1"/>
  <c r="AI76" i="3" s="1"/>
  <c r="AI75" i="3" a="1"/>
  <c r="AI75" i="3" s="1"/>
  <c r="AI74" i="3" a="1"/>
  <c r="AI74" i="3" s="1"/>
  <c r="AI73" i="3" a="1"/>
  <c r="AI73" i="3" s="1"/>
  <c r="AI72" i="3" a="1"/>
  <c r="AI72" i="3" s="1"/>
  <c r="AI71" i="3" a="1"/>
  <c r="AI71" i="3" s="1"/>
  <c r="AI70" i="3" a="1"/>
  <c r="AI70" i="3" s="1"/>
  <c r="AI69" i="3" a="1"/>
  <c r="AI69" i="3" s="1"/>
  <c r="AI68" i="3" a="1"/>
  <c r="AI68" i="3" s="1"/>
  <c r="AI67" i="3" a="1"/>
  <c r="AI67" i="3" s="1"/>
  <c r="AI66" i="3" a="1"/>
  <c r="AI66" i="3" s="1"/>
  <c r="AI65" i="3" a="1"/>
  <c r="AI65" i="3" s="1"/>
  <c r="AI64" i="3" a="1"/>
  <c r="AI64" i="3" s="1"/>
  <c r="AI63" i="3" a="1"/>
  <c r="AI63" i="3" s="1"/>
  <c r="AI62" i="3" a="1"/>
  <c r="AI62" i="3" s="1"/>
  <c r="AI61" i="3" a="1"/>
  <c r="AI61" i="3" s="1"/>
  <c r="AI60" i="3" a="1"/>
  <c r="AI60" i="3" s="1"/>
  <c r="AI59" i="3" a="1"/>
  <c r="AI59" i="3" s="1"/>
  <c r="AI58" i="3" a="1"/>
  <c r="AI58" i="3"/>
  <c r="AI57" i="3" a="1"/>
  <c r="AI57" i="3" s="1"/>
  <c r="AI56" i="3" a="1"/>
  <c r="AI56" i="3" s="1"/>
  <c r="AI55" i="3" a="1"/>
  <c r="AI55" i="3" s="1"/>
  <c r="AI54" i="3" a="1"/>
  <c r="AI54" i="3" s="1"/>
  <c r="AI53" i="3" a="1"/>
  <c r="AI53" i="3" s="1"/>
  <c r="AI52" i="3" a="1"/>
  <c r="AI52" i="3" s="1"/>
  <c r="AI51" i="3" a="1"/>
  <c r="AI51" i="3" s="1"/>
  <c r="AI50" i="3" a="1"/>
  <c r="AI50" i="3"/>
  <c r="AI49" i="3" a="1"/>
  <c r="AI49" i="3" s="1"/>
  <c r="AI48" i="3" a="1"/>
  <c r="AI48" i="3" s="1"/>
  <c r="AI47" i="3" a="1"/>
  <c r="AI47" i="3" s="1"/>
  <c r="AI46" i="3" a="1"/>
  <c r="AI46" i="3" s="1"/>
  <c r="AI45" i="3" a="1"/>
  <c r="AI45" i="3" s="1"/>
  <c r="AI44" i="3" a="1"/>
  <c r="AI44" i="3" s="1"/>
  <c r="AI43" i="3" a="1"/>
  <c r="AI43" i="3" s="1"/>
  <c r="AI42" i="3" a="1"/>
  <c r="AI42" i="3"/>
  <c r="AI41" i="3" a="1"/>
  <c r="AI41" i="3" s="1"/>
  <c r="AI40" i="3" a="1"/>
  <c r="AI40" i="3" s="1"/>
  <c r="AI39" i="3" a="1"/>
  <c r="AI39" i="3" s="1"/>
  <c r="AI38" i="3" a="1"/>
  <c r="AI38" i="3" s="1"/>
  <c r="AI37" i="3" a="1"/>
  <c r="AI37" i="3" s="1"/>
  <c r="AI36" i="3" a="1"/>
  <c r="AI36" i="3" s="1"/>
  <c r="AI35" i="3" a="1"/>
  <c r="AI35" i="3" s="1"/>
  <c r="AI34" i="3" a="1"/>
  <c r="AI34" i="3" s="1"/>
  <c r="AI33" i="3" a="1"/>
  <c r="AI33" i="3" s="1"/>
  <c r="AI32" i="3" a="1"/>
  <c r="AI32" i="3" s="1"/>
  <c r="AI31" i="3" a="1"/>
  <c r="AI31" i="3" s="1"/>
  <c r="AI30" i="3" a="1"/>
  <c r="AI30" i="3" s="1"/>
  <c r="AI29" i="3" a="1"/>
  <c r="AI29" i="3" s="1"/>
  <c r="AI28" i="3" a="1"/>
  <c r="AI28" i="3" s="1"/>
  <c r="AI27" i="3" a="1"/>
  <c r="AI27" i="3" s="1"/>
  <c r="AI26" i="3" a="1"/>
  <c r="AI26" i="3" s="1"/>
  <c r="AI25" i="3" a="1"/>
  <c r="AI25" i="3" s="1"/>
  <c r="AI24" i="3" a="1"/>
  <c r="AI24" i="3" s="1"/>
  <c r="AI23" i="3" a="1"/>
  <c r="AI23" i="3" s="1"/>
  <c r="AI22" i="3" a="1"/>
  <c r="AI22" i="3" s="1"/>
  <c r="AI21" i="3" a="1"/>
  <c r="AI21" i="3" s="1"/>
  <c r="AI20" i="3" a="1"/>
  <c r="AI20" i="3" s="1"/>
  <c r="AI19" i="3" a="1"/>
  <c r="AI19" i="3" s="1"/>
  <c r="AI18" i="3" a="1"/>
  <c r="AI18" i="3"/>
  <c r="AI17" i="3" a="1"/>
  <c r="AI17" i="3" s="1"/>
  <c r="AI16" i="3" a="1"/>
  <c r="AI16" i="3" s="1"/>
  <c r="AI15" i="3" a="1"/>
  <c r="AI15" i="3" s="1"/>
  <c r="AI14" i="3" a="1"/>
  <c r="AI14" i="3" s="1"/>
  <c r="AI13" i="3" a="1"/>
  <c r="AI13" i="3" s="1"/>
  <c r="AI12" i="3" a="1"/>
  <c r="AI12" i="3" s="1"/>
  <c r="AI11" i="3" a="1"/>
  <c r="AI11" i="3" s="1"/>
  <c r="AI10" i="3" a="1"/>
  <c r="AI10" i="3" s="1"/>
  <c r="AI9" i="3" a="1"/>
  <c r="AI9" i="3" s="1"/>
  <c r="AH9" i="3" a="1"/>
  <c r="AH9" i="3" s="1"/>
  <c r="AG9" i="3" a="1"/>
  <c r="AG9" i="3" s="1"/>
  <c r="AF9" i="3" a="1"/>
  <c r="AF9" i="3" s="1"/>
  <c r="AE9" i="3" a="1"/>
  <c r="AE9" i="3" s="1"/>
  <c r="AD9" i="3" a="1"/>
  <c r="AD9" i="3" s="1"/>
  <c r="AC9" i="3" a="1"/>
  <c r="AC9" i="3" s="1"/>
  <c r="AB9" i="3" a="1"/>
  <c r="AB9" i="3" s="1"/>
  <c r="AA9" i="3" a="1"/>
  <c r="AA9" i="3" s="1"/>
  <c r="Z9" i="3" a="1"/>
  <c r="Z9" i="3" s="1"/>
  <c r="Y9" i="3" a="1"/>
  <c r="Y9" i="3" s="1"/>
  <c r="X9" i="3" a="1"/>
  <c r="X9" i="3" s="1"/>
  <c r="W9" i="3" a="1"/>
  <c r="W9" i="3" s="1"/>
  <c r="V9" i="3" a="1"/>
  <c r="V9" i="3" s="1"/>
  <c r="U9" i="3" a="1"/>
  <c r="U9" i="3" s="1"/>
  <c r="T9" i="3" a="1"/>
  <c r="T9" i="3" s="1"/>
  <c r="S9" i="3" a="1"/>
  <c r="S9" i="3" s="1"/>
  <c r="R9" i="3" a="1"/>
  <c r="R9" i="3" s="1"/>
  <c r="Q9" i="3" a="1"/>
  <c r="Q9" i="3" s="1"/>
  <c r="P9" i="3" a="1"/>
  <c r="P9" i="3" s="1"/>
  <c r="O9" i="3" a="1"/>
  <c r="O9" i="3" s="1"/>
  <c r="N9" i="3" a="1"/>
  <c r="N9" i="3" s="1"/>
  <c r="M9" i="3" a="1"/>
  <c r="M9" i="3" s="1"/>
  <c r="L9" i="3" a="1"/>
  <c r="L9" i="3"/>
  <c r="K9" i="3" a="1"/>
  <c r="K9" i="3" s="1"/>
  <c r="J9" i="3" a="1"/>
  <c r="J9" i="3" s="1"/>
  <c r="I9" i="3" a="1"/>
  <c r="I9" i="3" s="1"/>
  <c r="H9" i="3" a="1"/>
  <c r="H9" i="3" s="1"/>
  <c r="G9" i="3" a="1"/>
  <c r="G9" i="3" s="1"/>
  <c r="F9" i="3" a="1"/>
  <c r="F9" i="3" s="1"/>
  <c r="E9" i="3" a="1"/>
  <c r="E9" i="3" s="1"/>
  <c r="D9" i="3" a="1"/>
  <c r="D9" i="3" s="1"/>
  <c r="C9" i="3" a="1"/>
  <c r="C9" i="3" s="1"/>
  <c r="AE8" i="3" a="1"/>
  <c r="AE8" i="3" s="1"/>
  <c r="R6" i="3" a="1"/>
  <c r="R6" i="3" s="1"/>
  <c r="C3" i="3" a="1"/>
  <c r="C3" i="3" s="1"/>
  <c r="J8" i="3" s="1" a="1"/>
  <c r="J8" i="3" s="1"/>
  <c r="N538" i="1" a="1"/>
  <c r="N538" i="1" s="1"/>
  <c r="M538" i="1" a="1"/>
  <c r="M538" i="1" s="1"/>
  <c r="L538" i="1" a="1"/>
  <c r="L538" i="1" s="1"/>
  <c r="K538" i="1" a="1"/>
  <c r="K538" i="1" s="1"/>
  <c r="F538" i="1" a="1"/>
  <c r="F538" i="1" s="1"/>
  <c r="E538" i="1" a="1"/>
  <c r="E538" i="1" s="1"/>
  <c r="D538" i="1" a="1"/>
  <c r="D538" i="1" s="1"/>
  <c r="C538" i="1" a="1"/>
  <c r="C538" i="1" s="1"/>
  <c r="B538" i="1" a="1"/>
  <c r="B538" i="1" s="1"/>
  <c r="N537" i="1" a="1"/>
  <c r="N537" i="1" s="1"/>
  <c r="M537" i="1" a="1"/>
  <c r="M537" i="1" s="1"/>
  <c r="L537" i="1" a="1"/>
  <c r="L537" i="1" s="1"/>
  <c r="K537" i="1" a="1"/>
  <c r="K537" i="1" s="1"/>
  <c r="F537" i="1" a="1"/>
  <c r="F537" i="1" s="1"/>
  <c r="E537" i="1" a="1"/>
  <c r="E537" i="1" s="1"/>
  <c r="D537" i="1" a="1"/>
  <c r="D537" i="1" s="1"/>
  <c r="C537" i="1" a="1"/>
  <c r="C537" i="1" s="1"/>
  <c r="B537" i="1" a="1"/>
  <c r="B537" i="1" s="1"/>
  <c r="N536" i="1" a="1"/>
  <c r="N536" i="1" s="1"/>
  <c r="M536" i="1" a="1"/>
  <c r="M536" i="1" s="1"/>
  <c r="L536" i="1" a="1"/>
  <c r="L536" i="1" s="1"/>
  <c r="K536" i="1" a="1"/>
  <c r="K536" i="1" s="1"/>
  <c r="F536" i="1" a="1"/>
  <c r="F536" i="1" s="1"/>
  <c r="E536" i="1" a="1"/>
  <c r="E536" i="1" s="1"/>
  <c r="D536" i="1" a="1"/>
  <c r="D536" i="1" s="1"/>
  <c r="C536" i="1" a="1"/>
  <c r="C536" i="1" s="1"/>
  <c r="B536" i="1" a="1"/>
  <c r="B536" i="1" s="1"/>
  <c r="N535" i="1" a="1"/>
  <c r="N535" i="1" s="1"/>
  <c r="M535" i="1" a="1"/>
  <c r="M535" i="1" s="1"/>
  <c r="L535" i="1" a="1"/>
  <c r="L535" i="1" s="1"/>
  <c r="K535" i="1" a="1"/>
  <c r="K535" i="1" s="1"/>
  <c r="F535" i="1" a="1"/>
  <c r="F535" i="1" s="1"/>
  <c r="E535" i="1" a="1"/>
  <c r="E535" i="1" s="1"/>
  <c r="D535" i="1" a="1"/>
  <c r="D535" i="1" s="1"/>
  <c r="C535" i="1" a="1"/>
  <c r="C535" i="1" s="1"/>
  <c r="B535" i="1" a="1"/>
  <c r="B535" i="1" s="1"/>
  <c r="N534" i="1" a="1"/>
  <c r="N534" i="1" s="1"/>
  <c r="M534" i="1" a="1"/>
  <c r="M534" i="1" s="1"/>
  <c r="L534" i="1" a="1"/>
  <c r="L534" i="1" s="1"/>
  <c r="K534" i="1" a="1"/>
  <c r="K534" i="1" s="1"/>
  <c r="F534" i="1" a="1"/>
  <c r="F534" i="1" s="1"/>
  <c r="E534" i="1" a="1"/>
  <c r="E534" i="1" s="1"/>
  <c r="D534" i="1" a="1"/>
  <c r="D534" i="1" s="1"/>
  <c r="C534" i="1" a="1"/>
  <c r="C534" i="1" s="1"/>
  <c r="B534" i="1" a="1"/>
  <c r="B534" i="1" s="1"/>
  <c r="N533" i="1" a="1"/>
  <c r="N533" i="1" s="1"/>
  <c r="M533" i="1" a="1"/>
  <c r="M533" i="1" s="1"/>
  <c r="L533" i="1" a="1"/>
  <c r="L533" i="1" s="1"/>
  <c r="K533" i="1" a="1"/>
  <c r="K533" i="1" s="1"/>
  <c r="F533" i="1" a="1"/>
  <c r="F533" i="1" s="1"/>
  <c r="E533" i="1" a="1"/>
  <c r="E533" i="1" s="1"/>
  <c r="D533" i="1" a="1"/>
  <c r="D533" i="1" s="1"/>
  <c r="C533" i="1" a="1"/>
  <c r="C533" i="1"/>
  <c r="B533" i="1" a="1"/>
  <c r="B533" i="1" s="1"/>
  <c r="N532" i="1" a="1"/>
  <c r="N532" i="1" s="1"/>
  <c r="M532" i="1" a="1"/>
  <c r="M532" i="1" s="1"/>
  <c r="L532" i="1" a="1"/>
  <c r="L532" i="1" s="1"/>
  <c r="K532" i="1" a="1"/>
  <c r="K532" i="1" s="1"/>
  <c r="F532" i="1" a="1"/>
  <c r="F532" i="1" s="1"/>
  <c r="E532" i="1" a="1"/>
  <c r="E532" i="1" s="1"/>
  <c r="D532" i="1" a="1"/>
  <c r="D532" i="1" s="1"/>
  <c r="C532" i="1" a="1"/>
  <c r="C532" i="1" s="1"/>
  <c r="B532" i="1" a="1"/>
  <c r="B532" i="1" s="1"/>
  <c r="N531" i="1" a="1"/>
  <c r="N531" i="1" s="1"/>
  <c r="M531" i="1" a="1"/>
  <c r="M531" i="1"/>
  <c r="L531" i="1" a="1"/>
  <c r="L531" i="1" s="1"/>
  <c r="K531" i="1" a="1"/>
  <c r="K531" i="1" s="1"/>
  <c r="F531" i="1" a="1"/>
  <c r="F531" i="1" s="1"/>
  <c r="E531" i="1" a="1"/>
  <c r="E531" i="1" s="1"/>
  <c r="D531" i="1" a="1"/>
  <c r="D531" i="1" s="1"/>
  <c r="C531" i="1" a="1"/>
  <c r="C531" i="1" s="1"/>
  <c r="B531" i="1" a="1"/>
  <c r="B531" i="1" s="1"/>
  <c r="N530" i="1" a="1"/>
  <c r="N530" i="1" s="1"/>
  <c r="M530" i="1" a="1"/>
  <c r="M530" i="1" s="1"/>
  <c r="L530" i="1" a="1"/>
  <c r="L530" i="1" s="1"/>
  <c r="K530" i="1" a="1"/>
  <c r="K530" i="1" s="1"/>
  <c r="F530" i="1" a="1"/>
  <c r="F530" i="1" s="1"/>
  <c r="E530" i="1" a="1"/>
  <c r="E530" i="1" s="1"/>
  <c r="D530" i="1" a="1"/>
  <c r="D530" i="1" s="1"/>
  <c r="C530" i="1" a="1"/>
  <c r="C530" i="1" s="1"/>
  <c r="B530" i="1" a="1"/>
  <c r="B530" i="1" s="1"/>
  <c r="N529" i="1" a="1"/>
  <c r="N529" i="1" s="1"/>
  <c r="M529" i="1" a="1"/>
  <c r="M529" i="1" s="1"/>
  <c r="L529" i="1" a="1"/>
  <c r="L529" i="1" s="1"/>
  <c r="K529" i="1" a="1"/>
  <c r="K529" i="1" s="1"/>
  <c r="F529" i="1" a="1"/>
  <c r="F529" i="1" s="1"/>
  <c r="E529" i="1" a="1"/>
  <c r="E529" i="1" s="1"/>
  <c r="D529" i="1" a="1"/>
  <c r="D529" i="1" s="1"/>
  <c r="C529" i="1" a="1"/>
  <c r="C529" i="1" s="1"/>
  <c r="B529" i="1" a="1"/>
  <c r="B529" i="1" s="1"/>
  <c r="N528" i="1" a="1"/>
  <c r="N528" i="1" s="1"/>
  <c r="M528" i="1" a="1"/>
  <c r="M528" i="1" s="1"/>
  <c r="L528" i="1" a="1"/>
  <c r="L528" i="1" s="1"/>
  <c r="K528" i="1" a="1"/>
  <c r="K528" i="1" s="1"/>
  <c r="F528" i="1" a="1"/>
  <c r="F528" i="1" s="1"/>
  <c r="E528" i="1" a="1"/>
  <c r="E528" i="1" s="1"/>
  <c r="D528" i="1" a="1"/>
  <c r="D528" i="1" s="1"/>
  <c r="C528" i="1" a="1"/>
  <c r="C528" i="1" s="1"/>
  <c r="B528" i="1" a="1"/>
  <c r="B528" i="1" s="1"/>
  <c r="N527" i="1" a="1"/>
  <c r="N527" i="1" s="1"/>
  <c r="M527" i="1" a="1"/>
  <c r="M527" i="1" s="1"/>
  <c r="L527" i="1" a="1"/>
  <c r="L527" i="1" s="1"/>
  <c r="K527" i="1" a="1"/>
  <c r="K527" i="1" s="1"/>
  <c r="F527" i="1" a="1"/>
  <c r="F527" i="1" s="1"/>
  <c r="E527" i="1" a="1"/>
  <c r="E527" i="1" s="1"/>
  <c r="D527" i="1" a="1"/>
  <c r="D527" i="1" s="1"/>
  <c r="C527" i="1" a="1"/>
  <c r="C527" i="1" s="1"/>
  <c r="B527" i="1" a="1"/>
  <c r="B527" i="1" s="1"/>
  <c r="N526" i="1" a="1"/>
  <c r="N526" i="1" s="1"/>
  <c r="M526" i="1" a="1"/>
  <c r="M526" i="1" s="1"/>
  <c r="L526" i="1" a="1"/>
  <c r="L526" i="1" s="1"/>
  <c r="K526" i="1" a="1"/>
  <c r="K526" i="1" s="1"/>
  <c r="F526" i="1" a="1"/>
  <c r="F526" i="1" s="1"/>
  <c r="E526" i="1" a="1"/>
  <c r="E526" i="1" s="1"/>
  <c r="D526" i="1" a="1"/>
  <c r="D526" i="1" s="1"/>
  <c r="C526" i="1" a="1"/>
  <c r="C526" i="1" s="1"/>
  <c r="B526" i="1" a="1"/>
  <c r="B526" i="1" s="1"/>
  <c r="N525" i="1" a="1"/>
  <c r="N525" i="1" s="1"/>
  <c r="M525" i="1" a="1"/>
  <c r="M525" i="1" s="1"/>
  <c r="L525" i="1" a="1"/>
  <c r="L525" i="1" s="1"/>
  <c r="K525" i="1" a="1"/>
  <c r="K525" i="1" s="1"/>
  <c r="F525" i="1" a="1"/>
  <c r="F525" i="1" s="1"/>
  <c r="E525" i="1" a="1"/>
  <c r="E525" i="1" s="1"/>
  <c r="D525" i="1" a="1"/>
  <c r="D525" i="1" s="1"/>
  <c r="C525" i="1" a="1"/>
  <c r="C525" i="1" s="1"/>
  <c r="B525" i="1" a="1"/>
  <c r="B525" i="1" s="1"/>
  <c r="N524" i="1" a="1"/>
  <c r="N524" i="1" s="1"/>
  <c r="M524" i="1" a="1"/>
  <c r="M524" i="1" s="1"/>
  <c r="L524" i="1" a="1"/>
  <c r="L524" i="1" s="1"/>
  <c r="K524" i="1" a="1"/>
  <c r="K524" i="1" s="1"/>
  <c r="F524" i="1" a="1"/>
  <c r="F524" i="1" s="1"/>
  <c r="E524" i="1" a="1"/>
  <c r="E524" i="1" s="1"/>
  <c r="D524" i="1" a="1"/>
  <c r="D524" i="1" s="1"/>
  <c r="C524" i="1" a="1"/>
  <c r="C524" i="1" s="1"/>
  <c r="B524" i="1" a="1"/>
  <c r="B524" i="1" s="1"/>
  <c r="N523" i="1" a="1"/>
  <c r="N523" i="1" s="1"/>
  <c r="M523" i="1" a="1"/>
  <c r="M523" i="1" s="1"/>
  <c r="L523" i="1" a="1"/>
  <c r="L523" i="1" s="1"/>
  <c r="K523" i="1" a="1"/>
  <c r="K523" i="1" s="1"/>
  <c r="F523" i="1" a="1"/>
  <c r="F523" i="1" s="1"/>
  <c r="E523" i="1" a="1"/>
  <c r="E523" i="1" s="1"/>
  <c r="D523" i="1" a="1"/>
  <c r="D523" i="1" s="1"/>
  <c r="C523" i="1" a="1"/>
  <c r="C523" i="1" s="1"/>
  <c r="B523" i="1" a="1"/>
  <c r="B523" i="1" s="1"/>
  <c r="N522" i="1" a="1"/>
  <c r="N522" i="1" s="1"/>
  <c r="M522" i="1" a="1"/>
  <c r="M522" i="1" s="1"/>
  <c r="L522" i="1" a="1"/>
  <c r="L522" i="1" s="1"/>
  <c r="K522" i="1" a="1"/>
  <c r="K522" i="1" s="1"/>
  <c r="F522" i="1" a="1"/>
  <c r="F522" i="1" s="1"/>
  <c r="E522" i="1" a="1"/>
  <c r="E522" i="1" s="1"/>
  <c r="D522" i="1" a="1"/>
  <c r="D522" i="1" s="1"/>
  <c r="C522" i="1" a="1"/>
  <c r="C522" i="1" s="1"/>
  <c r="B522" i="1" a="1"/>
  <c r="B522" i="1" s="1"/>
  <c r="N521" i="1" a="1"/>
  <c r="N521" i="1" s="1"/>
  <c r="M521" i="1" a="1"/>
  <c r="M521" i="1" s="1"/>
  <c r="L521" i="1" a="1"/>
  <c r="L521" i="1" s="1"/>
  <c r="K521" i="1" a="1"/>
  <c r="K521" i="1" s="1"/>
  <c r="F521" i="1" a="1"/>
  <c r="F521" i="1" s="1"/>
  <c r="E521" i="1" a="1"/>
  <c r="E521" i="1" s="1"/>
  <c r="D521" i="1" a="1"/>
  <c r="D521" i="1" s="1"/>
  <c r="C521" i="1" a="1"/>
  <c r="C521" i="1" s="1"/>
  <c r="B521" i="1" a="1"/>
  <c r="B521" i="1" s="1"/>
  <c r="N520" i="1" a="1"/>
  <c r="N520" i="1" s="1"/>
  <c r="M520" i="1" a="1"/>
  <c r="M520" i="1" s="1"/>
  <c r="L520" i="1" a="1"/>
  <c r="L520" i="1" s="1"/>
  <c r="K520" i="1" a="1"/>
  <c r="K520" i="1" s="1"/>
  <c r="F520" i="1" a="1"/>
  <c r="F520" i="1" s="1"/>
  <c r="E520" i="1" a="1"/>
  <c r="E520" i="1" s="1"/>
  <c r="D520" i="1" a="1"/>
  <c r="D520" i="1" s="1"/>
  <c r="C520" i="1" a="1"/>
  <c r="C520" i="1" s="1"/>
  <c r="B520" i="1" a="1"/>
  <c r="B520" i="1" s="1"/>
  <c r="N519" i="1" a="1"/>
  <c r="N519" i="1" s="1"/>
  <c r="M519" i="1" a="1"/>
  <c r="M519" i="1" s="1"/>
  <c r="L519" i="1" a="1"/>
  <c r="L519" i="1" s="1"/>
  <c r="K519" i="1" a="1"/>
  <c r="K519" i="1" s="1"/>
  <c r="F519" i="1" a="1"/>
  <c r="F519" i="1" s="1"/>
  <c r="E519" i="1" a="1"/>
  <c r="E519" i="1" s="1"/>
  <c r="D519" i="1" a="1"/>
  <c r="D519" i="1" s="1"/>
  <c r="C519" i="1" a="1"/>
  <c r="C519" i="1" s="1"/>
  <c r="B519" i="1" a="1"/>
  <c r="B519" i="1" s="1"/>
  <c r="N518" i="1" a="1"/>
  <c r="N518" i="1" s="1"/>
  <c r="M518" i="1" a="1"/>
  <c r="M518" i="1" s="1"/>
  <c r="L518" i="1" a="1"/>
  <c r="L518" i="1" s="1"/>
  <c r="K518" i="1" a="1"/>
  <c r="K518" i="1" s="1"/>
  <c r="F518" i="1" a="1"/>
  <c r="F518" i="1" s="1"/>
  <c r="E518" i="1" a="1"/>
  <c r="E518" i="1"/>
  <c r="D518" i="1" a="1"/>
  <c r="D518" i="1" s="1"/>
  <c r="C518" i="1" a="1"/>
  <c r="C518" i="1" s="1"/>
  <c r="B518" i="1" a="1"/>
  <c r="B518" i="1" s="1"/>
  <c r="N517" i="1" a="1"/>
  <c r="N517" i="1" s="1"/>
  <c r="M517" i="1" a="1"/>
  <c r="M517" i="1" s="1"/>
  <c r="L517" i="1" a="1"/>
  <c r="L517" i="1" s="1"/>
  <c r="K517" i="1" a="1"/>
  <c r="K517" i="1" s="1"/>
  <c r="F517" i="1" a="1"/>
  <c r="F517" i="1" s="1"/>
  <c r="E517" i="1" a="1"/>
  <c r="E517" i="1" s="1"/>
  <c r="D517" i="1" a="1"/>
  <c r="D517" i="1" s="1"/>
  <c r="C517" i="1" a="1"/>
  <c r="C517" i="1" s="1"/>
  <c r="B517" i="1" a="1"/>
  <c r="B517" i="1" s="1"/>
  <c r="N516" i="1" a="1"/>
  <c r="N516" i="1" s="1"/>
  <c r="M516" i="1" a="1"/>
  <c r="M516" i="1" s="1"/>
  <c r="L516" i="1" a="1"/>
  <c r="L516" i="1" s="1"/>
  <c r="K516" i="1" a="1"/>
  <c r="K516" i="1" s="1"/>
  <c r="F516" i="1" a="1"/>
  <c r="F516" i="1" s="1"/>
  <c r="E516" i="1" a="1"/>
  <c r="E516" i="1" s="1"/>
  <c r="D516" i="1" a="1"/>
  <c r="D516" i="1" s="1"/>
  <c r="C516" i="1" a="1"/>
  <c r="C516" i="1" s="1"/>
  <c r="B516" i="1" a="1"/>
  <c r="B516" i="1" s="1"/>
  <c r="N515" i="1" a="1"/>
  <c r="N515" i="1" s="1"/>
  <c r="M515" i="1" a="1"/>
  <c r="M515" i="1" s="1"/>
  <c r="L515" i="1" a="1"/>
  <c r="L515" i="1" s="1"/>
  <c r="K515" i="1" a="1"/>
  <c r="K515" i="1" s="1"/>
  <c r="F515" i="1" a="1"/>
  <c r="F515" i="1" s="1"/>
  <c r="E515" i="1" a="1"/>
  <c r="E515" i="1" s="1"/>
  <c r="D515" i="1" a="1"/>
  <c r="D515" i="1" s="1"/>
  <c r="C515" i="1" a="1"/>
  <c r="C515" i="1" s="1"/>
  <c r="B515" i="1" a="1"/>
  <c r="B515" i="1" s="1"/>
  <c r="N514" i="1" a="1"/>
  <c r="N514" i="1" s="1"/>
  <c r="M514" i="1" a="1"/>
  <c r="M514" i="1" s="1"/>
  <c r="L514" i="1" a="1"/>
  <c r="L514" i="1" s="1"/>
  <c r="K514" i="1" a="1"/>
  <c r="K514" i="1" s="1"/>
  <c r="F514" i="1" a="1"/>
  <c r="F514" i="1" s="1"/>
  <c r="E514" i="1" a="1"/>
  <c r="E514" i="1" s="1"/>
  <c r="D514" i="1" a="1"/>
  <c r="D514" i="1" s="1"/>
  <c r="C514" i="1" a="1"/>
  <c r="C514" i="1" s="1"/>
  <c r="B514" i="1" a="1"/>
  <c r="B514" i="1" s="1"/>
  <c r="N513" i="1" a="1"/>
  <c r="N513" i="1" s="1"/>
  <c r="M513" i="1" a="1"/>
  <c r="M513" i="1" s="1"/>
  <c r="L513" i="1" a="1"/>
  <c r="L513" i="1" s="1"/>
  <c r="K513" i="1" a="1"/>
  <c r="K513" i="1" s="1"/>
  <c r="F513" i="1" a="1"/>
  <c r="F513" i="1" s="1"/>
  <c r="E513" i="1" a="1"/>
  <c r="E513" i="1" s="1"/>
  <c r="D513" i="1" a="1"/>
  <c r="D513" i="1" s="1"/>
  <c r="C513" i="1" a="1"/>
  <c r="C513" i="1" s="1"/>
  <c r="B513" i="1" a="1"/>
  <c r="B513" i="1" s="1"/>
  <c r="N512" i="1" a="1"/>
  <c r="N512" i="1" s="1"/>
  <c r="M512" i="1" a="1"/>
  <c r="M512" i="1" s="1"/>
  <c r="L512" i="1" a="1"/>
  <c r="L512" i="1" s="1"/>
  <c r="K512" i="1" a="1"/>
  <c r="K512" i="1" s="1"/>
  <c r="F512" i="1" a="1"/>
  <c r="F512" i="1" s="1"/>
  <c r="E512" i="1" a="1"/>
  <c r="E512" i="1" s="1"/>
  <c r="D512" i="1" a="1"/>
  <c r="D512" i="1" s="1"/>
  <c r="C512" i="1" a="1"/>
  <c r="C512" i="1" s="1"/>
  <c r="B512" i="1" a="1"/>
  <c r="B512" i="1" s="1"/>
  <c r="N511" i="1" a="1"/>
  <c r="N511" i="1" s="1"/>
  <c r="M511" i="1" a="1"/>
  <c r="M511" i="1" s="1"/>
  <c r="L511" i="1" a="1"/>
  <c r="L511" i="1" s="1"/>
  <c r="K511" i="1" a="1"/>
  <c r="K511" i="1" s="1"/>
  <c r="F511" i="1" a="1"/>
  <c r="F511" i="1" s="1"/>
  <c r="E511" i="1" a="1"/>
  <c r="E511" i="1" s="1"/>
  <c r="D511" i="1" a="1"/>
  <c r="D511" i="1" s="1"/>
  <c r="C511" i="1" a="1"/>
  <c r="C511" i="1" s="1"/>
  <c r="B511" i="1" a="1"/>
  <c r="B511" i="1" s="1"/>
  <c r="N510" i="1" a="1"/>
  <c r="N510" i="1" s="1"/>
  <c r="M510" i="1" a="1"/>
  <c r="M510" i="1" s="1"/>
  <c r="L510" i="1" a="1"/>
  <c r="L510" i="1" s="1"/>
  <c r="K510" i="1" a="1"/>
  <c r="K510" i="1" s="1"/>
  <c r="F510" i="1" a="1"/>
  <c r="F510" i="1" s="1"/>
  <c r="E510" i="1" a="1"/>
  <c r="E510" i="1" s="1"/>
  <c r="D510" i="1" a="1"/>
  <c r="D510" i="1" s="1"/>
  <c r="C510" i="1" a="1"/>
  <c r="C510" i="1" s="1"/>
  <c r="B510" i="1" a="1"/>
  <c r="B510" i="1" s="1"/>
  <c r="N509" i="1" a="1"/>
  <c r="N509" i="1" s="1"/>
  <c r="M509" i="1" a="1"/>
  <c r="M509" i="1" s="1"/>
  <c r="L509" i="1" a="1"/>
  <c r="L509" i="1" s="1"/>
  <c r="K509" i="1" a="1"/>
  <c r="K509" i="1" s="1"/>
  <c r="F509" i="1" a="1"/>
  <c r="F509" i="1" s="1"/>
  <c r="E509" i="1" a="1"/>
  <c r="E509" i="1" s="1"/>
  <c r="D509" i="1" a="1"/>
  <c r="D509" i="1" s="1"/>
  <c r="C509" i="1" a="1"/>
  <c r="C509" i="1" s="1"/>
  <c r="B509" i="1" a="1"/>
  <c r="B509" i="1" s="1"/>
  <c r="N508" i="1" a="1"/>
  <c r="N508" i="1" s="1"/>
  <c r="M508" i="1" a="1"/>
  <c r="M508" i="1" s="1"/>
  <c r="L508" i="1" a="1"/>
  <c r="L508" i="1" s="1"/>
  <c r="K508" i="1" a="1"/>
  <c r="K508" i="1" s="1"/>
  <c r="F508" i="1" a="1"/>
  <c r="F508" i="1" s="1"/>
  <c r="E508" i="1" a="1"/>
  <c r="E508" i="1" s="1"/>
  <c r="D508" i="1" a="1"/>
  <c r="D508" i="1" s="1"/>
  <c r="C508" i="1" a="1"/>
  <c r="C508" i="1" s="1"/>
  <c r="B508" i="1" a="1"/>
  <c r="B508" i="1" s="1"/>
  <c r="N507" i="1" a="1"/>
  <c r="N507" i="1" s="1"/>
  <c r="M507" i="1" a="1"/>
  <c r="M507" i="1" s="1"/>
  <c r="L507" i="1" a="1"/>
  <c r="L507" i="1" s="1"/>
  <c r="K507" i="1" a="1"/>
  <c r="K507" i="1" s="1"/>
  <c r="F507" i="1" a="1"/>
  <c r="F507" i="1" s="1"/>
  <c r="E507" i="1" a="1"/>
  <c r="E507" i="1" s="1"/>
  <c r="D507" i="1" a="1"/>
  <c r="D507" i="1" s="1"/>
  <c r="C507" i="1" a="1"/>
  <c r="C507" i="1" s="1"/>
  <c r="B507" i="1" a="1"/>
  <c r="B507" i="1" s="1"/>
  <c r="N506" i="1" a="1"/>
  <c r="N506" i="1" s="1"/>
  <c r="M506" i="1" a="1"/>
  <c r="M506" i="1" s="1"/>
  <c r="L506" i="1" a="1"/>
  <c r="L506" i="1" s="1"/>
  <c r="K506" i="1" a="1"/>
  <c r="K506" i="1" s="1"/>
  <c r="F506" i="1" a="1"/>
  <c r="F506" i="1" s="1"/>
  <c r="E506" i="1" a="1"/>
  <c r="E506" i="1" s="1"/>
  <c r="D506" i="1" a="1"/>
  <c r="D506" i="1"/>
  <c r="C506" i="1" a="1"/>
  <c r="C506" i="1" s="1"/>
  <c r="B506" i="1" a="1"/>
  <c r="B506" i="1" s="1"/>
  <c r="N505" i="1" a="1"/>
  <c r="N505" i="1" s="1"/>
  <c r="M505" i="1" a="1"/>
  <c r="M505" i="1" s="1"/>
  <c r="L505" i="1" a="1"/>
  <c r="L505" i="1" s="1"/>
  <c r="K505" i="1" a="1"/>
  <c r="K505" i="1" s="1"/>
  <c r="F505" i="1" a="1"/>
  <c r="F505" i="1" s="1"/>
  <c r="E505" i="1" a="1"/>
  <c r="E505" i="1" s="1"/>
  <c r="D505" i="1" a="1"/>
  <c r="D505" i="1" s="1"/>
  <c r="C505" i="1" a="1"/>
  <c r="C505" i="1" s="1"/>
  <c r="B505" i="1" a="1"/>
  <c r="B505" i="1" s="1"/>
  <c r="N504" i="1" a="1"/>
  <c r="N504" i="1" s="1"/>
  <c r="M504" i="1" a="1"/>
  <c r="M504" i="1" s="1"/>
  <c r="L504" i="1" a="1"/>
  <c r="L504" i="1" s="1"/>
  <c r="K504" i="1" a="1"/>
  <c r="K504" i="1" s="1"/>
  <c r="F504" i="1" a="1"/>
  <c r="F504" i="1" s="1"/>
  <c r="E504" i="1" a="1"/>
  <c r="E504" i="1" s="1"/>
  <c r="D504" i="1" a="1"/>
  <c r="D504" i="1" s="1"/>
  <c r="C504" i="1" a="1"/>
  <c r="C504" i="1" s="1"/>
  <c r="B504" i="1" a="1"/>
  <c r="B504" i="1" s="1"/>
  <c r="N503" i="1" a="1"/>
  <c r="N503" i="1" s="1"/>
  <c r="M503" i="1" a="1"/>
  <c r="M503" i="1" s="1"/>
  <c r="L503" i="1" a="1"/>
  <c r="L503" i="1" s="1"/>
  <c r="K503" i="1" a="1"/>
  <c r="K503" i="1" s="1"/>
  <c r="F503" i="1" a="1"/>
  <c r="F503" i="1" s="1"/>
  <c r="E503" i="1" a="1"/>
  <c r="E503" i="1"/>
  <c r="D503" i="1" a="1"/>
  <c r="D503" i="1" s="1"/>
  <c r="C503" i="1" a="1"/>
  <c r="C503" i="1" s="1"/>
  <c r="B503" i="1" a="1"/>
  <c r="B503" i="1" s="1"/>
  <c r="N502" i="1" a="1"/>
  <c r="N502" i="1" s="1"/>
  <c r="M502" i="1" a="1"/>
  <c r="M502" i="1" s="1"/>
  <c r="L502" i="1" a="1"/>
  <c r="L502" i="1" s="1"/>
  <c r="K502" i="1" a="1"/>
  <c r="K502" i="1" s="1"/>
  <c r="F502" i="1" a="1"/>
  <c r="F502" i="1" s="1"/>
  <c r="E502" i="1" a="1"/>
  <c r="E502" i="1" s="1"/>
  <c r="D502" i="1" a="1"/>
  <c r="D502" i="1"/>
  <c r="C502" i="1" a="1"/>
  <c r="C502" i="1" s="1"/>
  <c r="B502" i="1" a="1"/>
  <c r="B502" i="1" s="1"/>
  <c r="N501" i="1" a="1"/>
  <c r="N501" i="1" s="1"/>
  <c r="M501" i="1" a="1"/>
  <c r="M501" i="1" s="1"/>
  <c r="L501" i="1" a="1"/>
  <c r="L501" i="1" s="1"/>
  <c r="K501" i="1" a="1"/>
  <c r="K501" i="1" s="1"/>
  <c r="F501" i="1" a="1"/>
  <c r="F501" i="1" s="1"/>
  <c r="E501" i="1" a="1"/>
  <c r="E501" i="1"/>
  <c r="D501" i="1" a="1"/>
  <c r="D501" i="1" s="1"/>
  <c r="C501" i="1" a="1"/>
  <c r="C501" i="1" s="1"/>
  <c r="B501" i="1" a="1"/>
  <c r="B501" i="1" s="1"/>
  <c r="N500" i="1" a="1"/>
  <c r="N500" i="1" s="1"/>
  <c r="M500" i="1" a="1"/>
  <c r="M500" i="1" s="1"/>
  <c r="L500" i="1" a="1"/>
  <c r="L500" i="1" s="1"/>
  <c r="K500" i="1" a="1"/>
  <c r="K500" i="1" s="1"/>
  <c r="F500" i="1" a="1"/>
  <c r="F500" i="1" s="1"/>
  <c r="E500" i="1" a="1"/>
  <c r="E500" i="1" s="1"/>
  <c r="D500" i="1" a="1"/>
  <c r="D500" i="1" s="1"/>
  <c r="C500" i="1" a="1"/>
  <c r="C500" i="1" s="1"/>
  <c r="B500" i="1" a="1"/>
  <c r="B500" i="1"/>
  <c r="N499" i="1" a="1"/>
  <c r="N499" i="1" s="1"/>
  <c r="M499" i="1" a="1"/>
  <c r="M499" i="1" s="1"/>
  <c r="L499" i="1" a="1"/>
  <c r="L499" i="1" s="1"/>
  <c r="K499" i="1" a="1"/>
  <c r="K499" i="1" s="1"/>
  <c r="F499" i="1" a="1"/>
  <c r="F499" i="1" s="1"/>
  <c r="E499" i="1" a="1"/>
  <c r="E499" i="1" s="1"/>
  <c r="D499" i="1" a="1"/>
  <c r="D499" i="1" s="1"/>
  <c r="C499" i="1" a="1"/>
  <c r="C499" i="1" s="1"/>
  <c r="B499" i="1" a="1"/>
  <c r="B499" i="1" s="1"/>
  <c r="N498" i="1" a="1"/>
  <c r="N498" i="1" s="1"/>
  <c r="M498" i="1" a="1"/>
  <c r="M498" i="1" s="1"/>
  <c r="L498" i="1" a="1"/>
  <c r="L498" i="1" s="1"/>
  <c r="K498" i="1" a="1"/>
  <c r="K498" i="1" s="1"/>
  <c r="F498" i="1" a="1"/>
  <c r="F498" i="1" s="1"/>
  <c r="E498" i="1" a="1"/>
  <c r="E498" i="1" s="1"/>
  <c r="D498" i="1" a="1"/>
  <c r="D498" i="1" s="1"/>
  <c r="C498" i="1" a="1"/>
  <c r="C498" i="1" s="1"/>
  <c r="B498" i="1" a="1"/>
  <c r="B498" i="1" s="1"/>
  <c r="N497" i="1" a="1"/>
  <c r="N497" i="1" s="1"/>
  <c r="M497" i="1" a="1"/>
  <c r="M497" i="1" s="1"/>
  <c r="L497" i="1" a="1"/>
  <c r="L497" i="1" s="1"/>
  <c r="K497" i="1" a="1"/>
  <c r="K497" i="1" s="1"/>
  <c r="F497" i="1" a="1"/>
  <c r="F497" i="1" s="1"/>
  <c r="E497" i="1" a="1"/>
  <c r="E497" i="1" s="1"/>
  <c r="D497" i="1" a="1"/>
  <c r="D497" i="1" s="1"/>
  <c r="C497" i="1" a="1"/>
  <c r="C497" i="1" s="1"/>
  <c r="B497" i="1" a="1"/>
  <c r="B497" i="1" s="1"/>
  <c r="N496" i="1" a="1"/>
  <c r="N496" i="1" s="1"/>
  <c r="M496" i="1" a="1"/>
  <c r="M496" i="1" s="1"/>
  <c r="L496" i="1" a="1"/>
  <c r="L496" i="1" s="1"/>
  <c r="K496" i="1" a="1"/>
  <c r="K496" i="1" s="1"/>
  <c r="F496" i="1" a="1"/>
  <c r="F496" i="1" s="1"/>
  <c r="E496" i="1" a="1"/>
  <c r="E496" i="1" s="1"/>
  <c r="D496" i="1" a="1"/>
  <c r="D496" i="1" s="1"/>
  <c r="C496" i="1" a="1"/>
  <c r="C496" i="1" s="1"/>
  <c r="B496" i="1" a="1"/>
  <c r="B496" i="1" s="1"/>
  <c r="N495" i="1" a="1"/>
  <c r="N495" i="1" s="1"/>
  <c r="M495" i="1" a="1"/>
  <c r="M495" i="1" s="1"/>
  <c r="L495" i="1" a="1"/>
  <c r="L495" i="1" s="1"/>
  <c r="K495" i="1" a="1"/>
  <c r="K495" i="1" s="1"/>
  <c r="F495" i="1" a="1"/>
  <c r="F495" i="1" s="1"/>
  <c r="E495" i="1" a="1"/>
  <c r="E495" i="1" s="1"/>
  <c r="D495" i="1" a="1"/>
  <c r="D495" i="1" s="1"/>
  <c r="C495" i="1" a="1"/>
  <c r="C495" i="1" s="1"/>
  <c r="B495" i="1" a="1"/>
  <c r="B495" i="1" s="1"/>
  <c r="N494" i="1" a="1"/>
  <c r="N494" i="1" s="1"/>
  <c r="M494" i="1" a="1"/>
  <c r="M494" i="1" s="1"/>
  <c r="L494" i="1" a="1"/>
  <c r="L494" i="1" s="1"/>
  <c r="K494" i="1" a="1"/>
  <c r="K494" i="1" s="1"/>
  <c r="F494" i="1" a="1"/>
  <c r="F494" i="1" s="1"/>
  <c r="E494" i="1" a="1"/>
  <c r="E494" i="1" s="1"/>
  <c r="D494" i="1" a="1"/>
  <c r="D494" i="1" s="1"/>
  <c r="C494" i="1" a="1"/>
  <c r="C494" i="1" s="1"/>
  <c r="B494" i="1" a="1"/>
  <c r="B494" i="1" s="1"/>
  <c r="N493" i="1" a="1"/>
  <c r="N493" i="1" s="1"/>
  <c r="M493" i="1" a="1"/>
  <c r="M493" i="1" s="1"/>
  <c r="L493" i="1" a="1"/>
  <c r="L493" i="1" s="1"/>
  <c r="K493" i="1" a="1"/>
  <c r="K493" i="1" s="1"/>
  <c r="F493" i="1" a="1"/>
  <c r="F493" i="1" s="1"/>
  <c r="E493" i="1" a="1"/>
  <c r="E493" i="1" s="1"/>
  <c r="D493" i="1" a="1"/>
  <c r="D493" i="1" s="1"/>
  <c r="C493" i="1" a="1"/>
  <c r="C493" i="1" s="1"/>
  <c r="B493" i="1" a="1"/>
  <c r="B493" i="1" s="1"/>
  <c r="N492" i="1" a="1"/>
  <c r="N492" i="1" s="1"/>
  <c r="M492" i="1" a="1"/>
  <c r="M492" i="1" s="1"/>
  <c r="L492" i="1" a="1"/>
  <c r="L492" i="1" s="1"/>
  <c r="K492" i="1" a="1"/>
  <c r="K492" i="1" s="1"/>
  <c r="F492" i="1" a="1"/>
  <c r="F492" i="1" s="1"/>
  <c r="E492" i="1" a="1"/>
  <c r="E492" i="1" s="1"/>
  <c r="D492" i="1" a="1"/>
  <c r="D492" i="1" s="1"/>
  <c r="C492" i="1" a="1"/>
  <c r="C492" i="1" s="1"/>
  <c r="B492" i="1" a="1"/>
  <c r="B492" i="1" s="1"/>
  <c r="N491" i="1" a="1"/>
  <c r="N491" i="1" s="1"/>
  <c r="M491" i="1" a="1"/>
  <c r="M491" i="1" s="1"/>
  <c r="L491" i="1" a="1"/>
  <c r="L491" i="1" s="1"/>
  <c r="K491" i="1" a="1"/>
  <c r="K491" i="1" s="1"/>
  <c r="F491" i="1" a="1"/>
  <c r="F491" i="1" s="1"/>
  <c r="E491" i="1" a="1"/>
  <c r="E491" i="1" s="1"/>
  <c r="D491" i="1" a="1"/>
  <c r="D491" i="1" s="1"/>
  <c r="C491" i="1" a="1"/>
  <c r="C491" i="1" s="1"/>
  <c r="B491" i="1" a="1"/>
  <c r="B491" i="1" s="1"/>
  <c r="N490" i="1" a="1"/>
  <c r="N490" i="1" s="1"/>
  <c r="M490" i="1" a="1"/>
  <c r="M490" i="1" s="1"/>
  <c r="L490" i="1" a="1"/>
  <c r="L490" i="1" s="1"/>
  <c r="K490" i="1" a="1"/>
  <c r="K490" i="1" s="1"/>
  <c r="F490" i="1" a="1"/>
  <c r="F490" i="1" s="1"/>
  <c r="E490" i="1" a="1"/>
  <c r="E490" i="1" s="1"/>
  <c r="D490" i="1" a="1"/>
  <c r="D490" i="1" s="1"/>
  <c r="C490" i="1" a="1"/>
  <c r="C490" i="1" s="1"/>
  <c r="B490" i="1" a="1"/>
  <c r="B490" i="1" s="1"/>
  <c r="N489" i="1" a="1"/>
  <c r="N489" i="1" s="1"/>
  <c r="M489" i="1" a="1"/>
  <c r="M489" i="1" s="1"/>
  <c r="L489" i="1" a="1"/>
  <c r="L489" i="1" s="1"/>
  <c r="K489" i="1" a="1"/>
  <c r="K489" i="1" s="1"/>
  <c r="F489" i="1" a="1"/>
  <c r="F489" i="1" s="1"/>
  <c r="E489" i="1" a="1"/>
  <c r="E489" i="1" s="1"/>
  <c r="D489" i="1" a="1"/>
  <c r="D489" i="1" s="1"/>
  <c r="C489" i="1" a="1"/>
  <c r="C489" i="1" s="1"/>
  <c r="B489" i="1" a="1"/>
  <c r="B489" i="1" s="1"/>
  <c r="N488" i="1" a="1"/>
  <c r="N488" i="1" s="1"/>
  <c r="M488" i="1" a="1"/>
  <c r="M488" i="1" s="1"/>
  <c r="L488" i="1" a="1"/>
  <c r="L488" i="1" s="1"/>
  <c r="K488" i="1" a="1"/>
  <c r="K488" i="1" s="1"/>
  <c r="F488" i="1" a="1"/>
  <c r="F488" i="1" s="1"/>
  <c r="E488" i="1" a="1"/>
  <c r="E488" i="1" s="1"/>
  <c r="D488" i="1" a="1"/>
  <c r="D488" i="1" s="1"/>
  <c r="C488" i="1" a="1"/>
  <c r="C488" i="1" s="1"/>
  <c r="B488" i="1" a="1"/>
  <c r="B488" i="1" s="1"/>
  <c r="N487" i="1" a="1"/>
  <c r="N487" i="1" s="1"/>
  <c r="M487" i="1" a="1"/>
  <c r="M487" i="1" s="1"/>
  <c r="L487" i="1" a="1"/>
  <c r="L487" i="1" s="1"/>
  <c r="K487" i="1" a="1"/>
  <c r="K487" i="1" s="1"/>
  <c r="F487" i="1" a="1"/>
  <c r="F487" i="1" s="1"/>
  <c r="E487" i="1" a="1"/>
  <c r="E487" i="1" s="1"/>
  <c r="D487" i="1" a="1"/>
  <c r="D487" i="1" s="1"/>
  <c r="C487" i="1" a="1"/>
  <c r="C487" i="1" s="1"/>
  <c r="B487" i="1" a="1"/>
  <c r="B487" i="1" s="1"/>
  <c r="N486" i="1" a="1"/>
  <c r="N486" i="1" s="1"/>
  <c r="M486" i="1" a="1"/>
  <c r="M486" i="1" s="1"/>
  <c r="L486" i="1" a="1"/>
  <c r="L486" i="1" s="1"/>
  <c r="K486" i="1" a="1"/>
  <c r="K486" i="1" s="1"/>
  <c r="F486" i="1" a="1"/>
  <c r="F486" i="1" s="1"/>
  <c r="E486" i="1" a="1"/>
  <c r="E486" i="1" s="1"/>
  <c r="D486" i="1" a="1"/>
  <c r="D486" i="1" s="1"/>
  <c r="C486" i="1" a="1"/>
  <c r="C486" i="1" s="1"/>
  <c r="B486" i="1" a="1"/>
  <c r="B486" i="1" s="1"/>
  <c r="N485" i="1" a="1"/>
  <c r="N485" i="1" s="1"/>
  <c r="M485" i="1" a="1"/>
  <c r="M485" i="1" s="1"/>
  <c r="L485" i="1" a="1"/>
  <c r="L485" i="1" s="1"/>
  <c r="K485" i="1" a="1"/>
  <c r="K485" i="1" s="1"/>
  <c r="F485" i="1" a="1"/>
  <c r="F485" i="1" s="1"/>
  <c r="E485" i="1" a="1"/>
  <c r="E485" i="1" s="1"/>
  <c r="D485" i="1" a="1"/>
  <c r="D485" i="1" s="1"/>
  <c r="C485" i="1" a="1"/>
  <c r="C485" i="1" s="1"/>
  <c r="B485" i="1" a="1"/>
  <c r="B485" i="1" s="1"/>
  <c r="N484" i="1" a="1"/>
  <c r="N484" i="1" s="1"/>
  <c r="M484" i="1" a="1"/>
  <c r="M484" i="1" s="1"/>
  <c r="L484" i="1" a="1"/>
  <c r="L484" i="1" s="1"/>
  <c r="K484" i="1" a="1"/>
  <c r="K484" i="1" s="1"/>
  <c r="F484" i="1" a="1"/>
  <c r="F484" i="1" s="1"/>
  <c r="E484" i="1" a="1"/>
  <c r="E484" i="1" s="1"/>
  <c r="D484" i="1" a="1"/>
  <c r="D484" i="1" s="1"/>
  <c r="C484" i="1" a="1"/>
  <c r="C484" i="1" s="1"/>
  <c r="B484" i="1" a="1"/>
  <c r="B484" i="1" s="1"/>
  <c r="N483" i="1" a="1"/>
  <c r="N483" i="1" s="1"/>
  <c r="M483" i="1" a="1"/>
  <c r="M483" i="1" s="1"/>
  <c r="L483" i="1" a="1"/>
  <c r="L483" i="1" s="1"/>
  <c r="K483" i="1" a="1"/>
  <c r="K483" i="1" s="1"/>
  <c r="F483" i="1" a="1"/>
  <c r="F483" i="1" s="1"/>
  <c r="E483" i="1" a="1"/>
  <c r="E483" i="1" s="1"/>
  <c r="D483" i="1" a="1"/>
  <c r="D483" i="1" s="1"/>
  <c r="C483" i="1" a="1"/>
  <c r="C483" i="1" s="1"/>
  <c r="B483" i="1" a="1"/>
  <c r="B483" i="1" s="1"/>
  <c r="N482" i="1" a="1"/>
  <c r="N482" i="1" s="1"/>
  <c r="M482" i="1" a="1"/>
  <c r="M482" i="1" s="1"/>
  <c r="L482" i="1" a="1"/>
  <c r="L482" i="1" s="1"/>
  <c r="K482" i="1" a="1"/>
  <c r="K482" i="1" s="1"/>
  <c r="F482" i="1" a="1"/>
  <c r="F482" i="1" s="1"/>
  <c r="E482" i="1" a="1"/>
  <c r="E482" i="1" s="1"/>
  <c r="D482" i="1" a="1"/>
  <c r="D482" i="1" s="1"/>
  <c r="C482" i="1" a="1"/>
  <c r="C482" i="1" s="1"/>
  <c r="B482" i="1" a="1"/>
  <c r="B482" i="1" s="1"/>
  <c r="N481" i="1" a="1"/>
  <c r="N481" i="1" s="1"/>
  <c r="M481" i="1" a="1"/>
  <c r="M481" i="1" s="1"/>
  <c r="L481" i="1" a="1"/>
  <c r="L481" i="1" s="1"/>
  <c r="K481" i="1" a="1"/>
  <c r="K481" i="1" s="1"/>
  <c r="F481" i="1" a="1"/>
  <c r="F481" i="1" s="1"/>
  <c r="E481" i="1" a="1"/>
  <c r="E481" i="1" s="1"/>
  <c r="D481" i="1" a="1"/>
  <c r="D481" i="1" s="1"/>
  <c r="C481" i="1" a="1"/>
  <c r="C481" i="1" s="1"/>
  <c r="B481" i="1" a="1"/>
  <c r="B481" i="1" s="1"/>
  <c r="N480" i="1" a="1"/>
  <c r="N480" i="1" s="1"/>
  <c r="M480" i="1" a="1"/>
  <c r="M480" i="1" s="1"/>
  <c r="L480" i="1" a="1"/>
  <c r="L480" i="1" s="1"/>
  <c r="K480" i="1" a="1"/>
  <c r="K480" i="1" s="1"/>
  <c r="F480" i="1" a="1"/>
  <c r="F480" i="1" s="1"/>
  <c r="E480" i="1" a="1"/>
  <c r="E480" i="1" s="1"/>
  <c r="D480" i="1" a="1"/>
  <c r="D480" i="1" s="1"/>
  <c r="C480" i="1" a="1"/>
  <c r="C480" i="1" s="1"/>
  <c r="B480" i="1" a="1"/>
  <c r="B480" i="1" s="1"/>
  <c r="N479" i="1" a="1"/>
  <c r="N479" i="1" s="1"/>
  <c r="M479" i="1" a="1"/>
  <c r="M479" i="1" s="1"/>
  <c r="L479" i="1" a="1"/>
  <c r="L479" i="1" s="1"/>
  <c r="K479" i="1" a="1"/>
  <c r="K479" i="1" s="1"/>
  <c r="F479" i="1" a="1"/>
  <c r="F479" i="1" s="1"/>
  <c r="E479" i="1" a="1"/>
  <c r="E479" i="1" s="1"/>
  <c r="D479" i="1" a="1"/>
  <c r="D479" i="1" s="1"/>
  <c r="C479" i="1" a="1"/>
  <c r="C479" i="1" s="1"/>
  <c r="B479" i="1" a="1"/>
  <c r="B479" i="1" s="1"/>
  <c r="N478" i="1" a="1"/>
  <c r="N478" i="1" s="1"/>
  <c r="M478" i="1" a="1"/>
  <c r="M478" i="1" s="1"/>
  <c r="L478" i="1" a="1"/>
  <c r="L478" i="1" s="1"/>
  <c r="K478" i="1" a="1"/>
  <c r="K478" i="1" s="1"/>
  <c r="F478" i="1" a="1"/>
  <c r="F478" i="1" s="1"/>
  <c r="E478" i="1" a="1"/>
  <c r="E478" i="1" s="1"/>
  <c r="D478" i="1" a="1"/>
  <c r="D478" i="1" s="1"/>
  <c r="C478" i="1" a="1"/>
  <c r="C478" i="1" s="1"/>
  <c r="B478" i="1" a="1"/>
  <c r="B478" i="1" s="1"/>
  <c r="N477" i="1" a="1"/>
  <c r="N477" i="1" s="1"/>
  <c r="M477" i="1" a="1"/>
  <c r="M477" i="1" s="1"/>
  <c r="L477" i="1" a="1"/>
  <c r="L477" i="1" s="1"/>
  <c r="K477" i="1" a="1"/>
  <c r="K477" i="1" s="1"/>
  <c r="F477" i="1" a="1"/>
  <c r="F477" i="1" s="1"/>
  <c r="E477" i="1" a="1"/>
  <c r="E477" i="1" s="1"/>
  <c r="D477" i="1" a="1"/>
  <c r="D477" i="1" s="1"/>
  <c r="C477" i="1" a="1"/>
  <c r="C477" i="1" s="1"/>
  <c r="B477" i="1" a="1"/>
  <c r="B477" i="1" s="1"/>
  <c r="N476" i="1" a="1"/>
  <c r="N476" i="1" s="1"/>
  <c r="M476" i="1" a="1"/>
  <c r="M476" i="1" s="1"/>
  <c r="L476" i="1" a="1"/>
  <c r="L476" i="1" s="1"/>
  <c r="K476" i="1" a="1"/>
  <c r="K476" i="1" s="1"/>
  <c r="F476" i="1" a="1"/>
  <c r="F476" i="1" s="1"/>
  <c r="E476" i="1" a="1"/>
  <c r="E476" i="1" s="1"/>
  <c r="D476" i="1" a="1"/>
  <c r="D476" i="1" s="1"/>
  <c r="C476" i="1" a="1"/>
  <c r="C476" i="1" s="1"/>
  <c r="B476" i="1" a="1"/>
  <c r="B476" i="1" s="1"/>
  <c r="N475" i="1" a="1"/>
  <c r="N475" i="1" s="1"/>
  <c r="M475" i="1" a="1"/>
  <c r="M475" i="1" s="1"/>
  <c r="L475" i="1" a="1"/>
  <c r="L475" i="1" s="1"/>
  <c r="K475" i="1" a="1"/>
  <c r="K475" i="1" s="1"/>
  <c r="F475" i="1" a="1"/>
  <c r="F475" i="1" s="1"/>
  <c r="E475" i="1" a="1"/>
  <c r="E475" i="1" s="1"/>
  <c r="D475" i="1" a="1"/>
  <c r="D475" i="1" s="1"/>
  <c r="C475" i="1" a="1"/>
  <c r="C475" i="1" s="1"/>
  <c r="B475" i="1" a="1"/>
  <c r="B475" i="1" s="1"/>
  <c r="N474" i="1" a="1"/>
  <c r="N474" i="1" s="1"/>
  <c r="M474" i="1" a="1"/>
  <c r="M474" i="1" s="1"/>
  <c r="L474" i="1" a="1"/>
  <c r="L474" i="1" s="1"/>
  <c r="K474" i="1" a="1"/>
  <c r="K474" i="1" s="1"/>
  <c r="F474" i="1" a="1"/>
  <c r="F474" i="1" s="1"/>
  <c r="E474" i="1" a="1"/>
  <c r="E474" i="1" s="1"/>
  <c r="D474" i="1" a="1"/>
  <c r="D474" i="1" s="1"/>
  <c r="C474" i="1" a="1"/>
  <c r="C474" i="1" s="1"/>
  <c r="B474" i="1" a="1"/>
  <c r="B474" i="1" s="1"/>
  <c r="N473" i="1" a="1"/>
  <c r="N473" i="1" s="1"/>
  <c r="M473" i="1" a="1"/>
  <c r="M473" i="1" s="1"/>
  <c r="L473" i="1" a="1"/>
  <c r="L473" i="1" s="1"/>
  <c r="K473" i="1" a="1"/>
  <c r="K473" i="1" s="1"/>
  <c r="F473" i="1" a="1"/>
  <c r="F473" i="1" s="1"/>
  <c r="E473" i="1" a="1"/>
  <c r="E473" i="1" s="1"/>
  <c r="D473" i="1" a="1"/>
  <c r="D473" i="1" s="1"/>
  <c r="C473" i="1" a="1"/>
  <c r="C473" i="1" s="1"/>
  <c r="B473" i="1" a="1"/>
  <c r="B473" i="1" s="1"/>
  <c r="N472" i="1" a="1"/>
  <c r="N472" i="1" s="1"/>
  <c r="M472" i="1" a="1"/>
  <c r="M472" i="1" s="1"/>
  <c r="L472" i="1" a="1"/>
  <c r="L472" i="1" s="1"/>
  <c r="K472" i="1" a="1"/>
  <c r="K472" i="1" s="1"/>
  <c r="F472" i="1" a="1"/>
  <c r="F472" i="1" s="1"/>
  <c r="E472" i="1" a="1"/>
  <c r="E472" i="1" s="1"/>
  <c r="D472" i="1" a="1"/>
  <c r="D472" i="1" s="1"/>
  <c r="C472" i="1" a="1"/>
  <c r="C472" i="1" s="1"/>
  <c r="B472" i="1" a="1"/>
  <c r="B472" i="1" s="1"/>
  <c r="N471" i="1" a="1"/>
  <c r="N471" i="1" s="1"/>
  <c r="M471" i="1" a="1"/>
  <c r="M471" i="1" s="1"/>
  <c r="L471" i="1" a="1"/>
  <c r="L471" i="1" s="1"/>
  <c r="K471" i="1" a="1"/>
  <c r="K471" i="1" s="1"/>
  <c r="F471" i="1" a="1"/>
  <c r="F471" i="1" s="1"/>
  <c r="E471" i="1" a="1"/>
  <c r="E471" i="1" s="1"/>
  <c r="D471" i="1" a="1"/>
  <c r="D471" i="1" s="1"/>
  <c r="C471" i="1" a="1"/>
  <c r="C471" i="1" s="1"/>
  <c r="B471" i="1" a="1"/>
  <c r="B471" i="1" s="1"/>
  <c r="N470" i="1" a="1"/>
  <c r="N470" i="1" s="1"/>
  <c r="M470" i="1" a="1"/>
  <c r="M470" i="1" s="1"/>
  <c r="L470" i="1" a="1"/>
  <c r="L470" i="1" s="1"/>
  <c r="K470" i="1" a="1"/>
  <c r="K470" i="1" s="1"/>
  <c r="F470" i="1" a="1"/>
  <c r="F470" i="1" s="1"/>
  <c r="E470" i="1" a="1"/>
  <c r="E470" i="1" s="1"/>
  <c r="D470" i="1" a="1"/>
  <c r="D470" i="1" s="1"/>
  <c r="C470" i="1" a="1"/>
  <c r="C470" i="1" s="1"/>
  <c r="B470" i="1" a="1"/>
  <c r="B470" i="1" s="1"/>
  <c r="N469" i="1" a="1"/>
  <c r="N469" i="1" s="1"/>
  <c r="M469" i="1" a="1"/>
  <c r="M469" i="1" s="1"/>
  <c r="L469" i="1" a="1"/>
  <c r="L469" i="1" s="1"/>
  <c r="K469" i="1" a="1"/>
  <c r="K469" i="1" s="1"/>
  <c r="F469" i="1" a="1"/>
  <c r="F469" i="1" s="1"/>
  <c r="E469" i="1" a="1"/>
  <c r="E469" i="1" s="1"/>
  <c r="D469" i="1" a="1"/>
  <c r="D469" i="1" s="1"/>
  <c r="C469" i="1" a="1"/>
  <c r="C469" i="1" s="1"/>
  <c r="B469" i="1" a="1"/>
  <c r="B469" i="1" s="1"/>
  <c r="N468" i="1" a="1"/>
  <c r="N468" i="1" s="1"/>
  <c r="M468" i="1" a="1"/>
  <c r="M468" i="1" s="1"/>
  <c r="L468" i="1" a="1"/>
  <c r="L468" i="1" s="1"/>
  <c r="K468" i="1" a="1"/>
  <c r="K468" i="1" s="1"/>
  <c r="F468" i="1" a="1"/>
  <c r="F468" i="1" s="1"/>
  <c r="E468" i="1" a="1"/>
  <c r="E468" i="1" s="1"/>
  <c r="D468" i="1" a="1"/>
  <c r="D468" i="1" s="1"/>
  <c r="C468" i="1" a="1"/>
  <c r="C468" i="1" s="1"/>
  <c r="B468" i="1" a="1"/>
  <c r="B468" i="1" s="1"/>
  <c r="N467" i="1" a="1"/>
  <c r="N467" i="1" s="1"/>
  <c r="M467" i="1" a="1"/>
  <c r="M467" i="1" s="1"/>
  <c r="L467" i="1" a="1"/>
  <c r="L467" i="1" s="1"/>
  <c r="K467" i="1" a="1"/>
  <c r="K467" i="1" s="1"/>
  <c r="F467" i="1" a="1"/>
  <c r="F467" i="1" s="1"/>
  <c r="E467" i="1" a="1"/>
  <c r="E467" i="1" s="1"/>
  <c r="D467" i="1" a="1"/>
  <c r="D467" i="1" s="1"/>
  <c r="C467" i="1" a="1"/>
  <c r="C467" i="1" s="1"/>
  <c r="B467" i="1" a="1"/>
  <c r="B467" i="1" s="1"/>
  <c r="N466" i="1" a="1"/>
  <c r="N466" i="1" s="1"/>
  <c r="M466" i="1" a="1"/>
  <c r="M466" i="1" s="1"/>
  <c r="L466" i="1" a="1"/>
  <c r="L466" i="1" s="1"/>
  <c r="K466" i="1" a="1"/>
  <c r="K466" i="1" s="1"/>
  <c r="F466" i="1" a="1"/>
  <c r="F466" i="1" s="1"/>
  <c r="E466" i="1" a="1"/>
  <c r="E466" i="1" s="1"/>
  <c r="D466" i="1" a="1"/>
  <c r="D466" i="1" s="1"/>
  <c r="C466" i="1" a="1"/>
  <c r="C466" i="1" s="1"/>
  <c r="B466" i="1" a="1"/>
  <c r="B466" i="1" s="1"/>
  <c r="N465" i="1" a="1"/>
  <c r="N465" i="1" s="1"/>
  <c r="M465" i="1" a="1"/>
  <c r="M465" i="1" s="1"/>
  <c r="L465" i="1" a="1"/>
  <c r="L465" i="1" s="1"/>
  <c r="K465" i="1" a="1"/>
  <c r="K465" i="1" s="1"/>
  <c r="F465" i="1" a="1"/>
  <c r="F465" i="1" s="1"/>
  <c r="E465" i="1" a="1"/>
  <c r="E465" i="1" s="1"/>
  <c r="D465" i="1" a="1"/>
  <c r="D465" i="1" s="1"/>
  <c r="C465" i="1" a="1"/>
  <c r="C465" i="1" s="1"/>
  <c r="B465" i="1" a="1"/>
  <c r="B465" i="1" s="1"/>
  <c r="N464" i="1" a="1"/>
  <c r="N464" i="1" s="1"/>
  <c r="M464" i="1" a="1"/>
  <c r="M464" i="1" s="1"/>
  <c r="L464" i="1" a="1"/>
  <c r="L464" i="1" s="1"/>
  <c r="K464" i="1" a="1"/>
  <c r="K464" i="1" s="1"/>
  <c r="F464" i="1" a="1"/>
  <c r="F464" i="1" s="1"/>
  <c r="E464" i="1" a="1"/>
  <c r="E464" i="1" s="1"/>
  <c r="D464" i="1" a="1"/>
  <c r="D464" i="1" s="1"/>
  <c r="C464" i="1" a="1"/>
  <c r="C464" i="1" s="1"/>
  <c r="B464" i="1" a="1"/>
  <c r="B464" i="1" s="1"/>
  <c r="N463" i="1" a="1"/>
  <c r="N463" i="1" s="1"/>
  <c r="M463" i="1" a="1"/>
  <c r="M463" i="1" s="1"/>
  <c r="L463" i="1" a="1"/>
  <c r="L463" i="1" s="1"/>
  <c r="K463" i="1" a="1"/>
  <c r="K463" i="1" s="1"/>
  <c r="F463" i="1" a="1"/>
  <c r="F463" i="1" s="1"/>
  <c r="E463" i="1" a="1"/>
  <c r="E463" i="1" s="1"/>
  <c r="D463" i="1" a="1"/>
  <c r="D463" i="1" s="1"/>
  <c r="C463" i="1" a="1"/>
  <c r="C463" i="1" s="1"/>
  <c r="B463" i="1" a="1"/>
  <c r="B463" i="1" s="1"/>
  <c r="N462" i="1" a="1"/>
  <c r="N462" i="1" s="1"/>
  <c r="M462" i="1" a="1"/>
  <c r="M462" i="1" s="1"/>
  <c r="L462" i="1" a="1"/>
  <c r="L462" i="1" s="1"/>
  <c r="K462" i="1" a="1"/>
  <c r="K462" i="1" s="1"/>
  <c r="F462" i="1" a="1"/>
  <c r="F462" i="1" s="1"/>
  <c r="E462" i="1" a="1"/>
  <c r="E462" i="1" s="1"/>
  <c r="D462" i="1" a="1"/>
  <c r="D462" i="1" s="1"/>
  <c r="C462" i="1" a="1"/>
  <c r="C462" i="1" s="1"/>
  <c r="B462" i="1" a="1"/>
  <c r="B462" i="1" s="1"/>
  <c r="N461" i="1" a="1"/>
  <c r="N461" i="1" s="1"/>
  <c r="M461" i="1" a="1"/>
  <c r="M461" i="1" s="1"/>
  <c r="L461" i="1" a="1"/>
  <c r="L461" i="1" s="1"/>
  <c r="K461" i="1" a="1"/>
  <c r="K461" i="1" s="1"/>
  <c r="F461" i="1" a="1"/>
  <c r="F461" i="1" s="1"/>
  <c r="E461" i="1" a="1"/>
  <c r="E461" i="1" s="1"/>
  <c r="D461" i="1" a="1"/>
  <c r="D461" i="1" s="1"/>
  <c r="C461" i="1" a="1"/>
  <c r="C461" i="1" s="1"/>
  <c r="B461" i="1" a="1"/>
  <c r="B461" i="1" s="1"/>
  <c r="N460" i="1" a="1"/>
  <c r="N460" i="1" s="1"/>
  <c r="M460" i="1" a="1"/>
  <c r="M460" i="1" s="1"/>
  <c r="L460" i="1" a="1"/>
  <c r="L460" i="1" s="1"/>
  <c r="K460" i="1" a="1"/>
  <c r="K460" i="1" s="1"/>
  <c r="F460" i="1" a="1"/>
  <c r="F460" i="1" s="1"/>
  <c r="E460" i="1" a="1"/>
  <c r="E460" i="1" s="1"/>
  <c r="D460" i="1" a="1"/>
  <c r="D460" i="1" s="1"/>
  <c r="C460" i="1" a="1"/>
  <c r="C460" i="1" s="1"/>
  <c r="B460" i="1" a="1"/>
  <c r="B460" i="1" s="1"/>
  <c r="N459" i="1" a="1"/>
  <c r="N459" i="1" s="1"/>
  <c r="M459" i="1" a="1"/>
  <c r="M459" i="1" s="1"/>
  <c r="L459" i="1" a="1"/>
  <c r="L459" i="1" s="1"/>
  <c r="K459" i="1" a="1"/>
  <c r="K459" i="1" s="1"/>
  <c r="F459" i="1" a="1"/>
  <c r="F459" i="1" s="1"/>
  <c r="E459" i="1" a="1"/>
  <c r="E459" i="1" s="1"/>
  <c r="D459" i="1" a="1"/>
  <c r="D459" i="1" s="1"/>
  <c r="C459" i="1" a="1"/>
  <c r="C459" i="1" s="1"/>
  <c r="B459" i="1" a="1"/>
  <c r="B459" i="1" s="1"/>
  <c r="N458" i="1" a="1"/>
  <c r="N458" i="1" s="1"/>
  <c r="M458" i="1" a="1"/>
  <c r="M458" i="1" s="1"/>
  <c r="L458" i="1" a="1"/>
  <c r="L458" i="1" s="1"/>
  <c r="K458" i="1" a="1"/>
  <c r="K458" i="1" s="1"/>
  <c r="F458" i="1" a="1"/>
  <c r="F458" i="1" s="1"/>
  <c r="E458" i="1" a="1"/>
  <c r="E458" i="1" s="1"/>
  <c r="D458" i="1" a="1"/>
  <c r="D458" i="1" s="1"/>
  <c r="C458" i="1" a="1"/>
  <c r="C458" i="1" s="1"/>
  <c r="B458" i="1" a="1"/>
  <c r="B458" i="1" s="1"/>
  <c r="N457" i="1" a="1"/>
  <c r="N457" i="1" s="1"/>
  <c r="M457" i="1" a="1"/>
  <c r="M457" i="1" s="1"/>
  <c r="L457" i="1" a="1"/>
  <c r="L457" i="1" s="1"/>
  <c r="K457" i="1" a="1"/>
  <c r="K457" i="1" s="1"/>
  <c r="F457" i="1" a="1"/>
  <c r="F457" i="1" s="1"/>
  <c r="E457" i="1" a="1"/>
  <c r="E457" i="1" s="1"/>
  <c r="D457" i="1" a="1"/>
  <c r="D457" i="1" s="1"/>
  <c r="C457" i="1" a="1"/>
  <c r="C457" i="1" s="1"/>
  <c r="B457" i="1" a="1"/>
  <c r="B457" i="1" s="1"/>
  <c r="N456" i="1" a="1"/>
  <c r="N456" i="1" s="1"/>
  <c r="M456" i="1" a="1"/>
  <c r="M456" i="1" s="1"/>
  <c r="L456" i="1" a="1"/>
  <c r="L456" i="1" s="1"/>
  <c r="K456" i="1" a="1"/>
  <c r="K456" i="1" s="1"/>
  <c r="F456" i="1" a="1"/>
  <c r="F456" i="1" s="1"/>
  <c r="E456" i="1" a="1"/>
  <c r="E456" i="1" s="1"/>
  <c r="D456" i="1" a="1"/>
  <c r="D456" i="1" s="1"/>
  <c r="C456" i="1" a="1"/>
  <c r="C456" i="1" s="1"/>
  <c r="B456" i="1" a="1"/>
  <c r="B456" i="1" s="1"/>
  <c r="N455" i="1" a="1"/>
  <c r="N455" i="1" s="1"/>
  <c r="M455" i="1" a="1"/>
  <c r="M455" i="1" s="1"/>
  <c r="L455" i="1" a="1"/>
  <c r="L455" i="1" s="1"/>
  <c r="K455" i="1" a="1"/>
  <c r="K455" i="1" s="1"/>
  <c r="F455" i="1" a="1"/>
  <c r="F455" i="1" s="1"/>
  <c r="E455" i="1" a="1"/>
  <c r="E455" i="1" s="1"/>
  <c r="D455" i="1" a="1"/>
  <c r="D455" i="1" s="1"/>
  <c r="C455" i="1" a="1"/>
  <c r="C455" i="1" s="1"/>
  <c r="B455" i="1" a="1"/>
  <c r="B455" i="1" s="1"/>
  <c r="N454" i="1" a="1"/>
  <c r="N454" i="1" s="1"/>
  <c r="M454" i="1" a="1"/>
  <c r="M454" i="1" s="1"/>
  <c r="L454" i="1" a="1"/>
  <c r="L454" i="1" s="1"/>
  <c r="K454" i="1" a="1"/>
  <c r="K454" i="1" s="1"/>
  <c r="F454" i="1" a="1"/>
  <c r="F454" i="1" s="1"/>
  <c r="E454" i="1" a="1"/>
  <c r="E454" i="1" s="1"/>
  <c r="D454" i="1" a="1"/>
  <c r="D454" i="1" s="1"/>
  <c r="C454" i="1" a="1"/>
  <c r="C454" i="1" s="1"/>
  <c r="B454" i="1" a="1"/>
  <c r="B454" i="1" s="1"/>
  <c r="N453" i="1" a="1"/>
  <c r="N453" i="1" s="1"/>
  <c r="M453" i="1" a="1"/>
  <c r="M453" i="1" s="1"/>
  <c r="L453" i="1" a="1"/>
  <c r="L453" i="1" s="1"/>
  <c r="K453" i="1" a="1"/>
  <c r="K453" i="1" s="1"/>
  <c r="F453" i="1" a="1"/>
  <c r="F453" i="1" s="1"/>
  <c r="E453" i="1" a="1"/>
  <c r="E453" i="1" s="1"/>
  <c r="D453" i="1" a="1"/>
  <c r="D453" i="1" s="1"/>
  <c r="C453" i="1" a="1"/>
  <c r="C453" i="1" s="1"/>
  <c r="B453" i="1" a="1"/>
  <c r="B453" i="1" s="1"/>
  <c r="N452" i="1" a="1"/>
  <c r="N452" i="1" s="1"/>
  <c r="M452" i="1" a="1"/>
  <c r="M452" i="1" s="1"/>
  <c r="L452" i="1" a="1"/>
  <c r="L452" i="1" s="1"/>
  <c r="K452" i="1" a="1"/>
  <c r="K452" i="1" s="1"/>
  <c r="F452" i="1" a="1"/>
  <c r="F452" i="1"/>
  <c r="E452" i="1" a="1"/>
  <c r="E452" i="1" s="1"/>
  <c r="D452" i="1" a="1"/>
  <c r="D452" i="1" s="1"/>
  <c r="C452" i="1" a="1"/>
  <c r="C452" i="1" s="1"/>
  <c r="B452" i="1" a="1"/>
  <c r="B452" i="1" s="1"/>
  <c r="N451" i="1" a="1"/>
  <c r="N451" i="1" s="1"/>
  <c r="M451" i="1" a="1"/>
  <c r="M451" i="1" s="1"/>
  <c r="L451" i="1" a="1"/>
  <c r="L451" i="1" s="1"/>
  <c r="K451" i="1" a="1"/>
  <c r="K451" i="1" s="1"/>
  <c r="F451" i="1" a="1"/>
  <c r="F451" i="1" s="1"/>
  <c r="E451" i="1" a="1"/>
  <c r="E451" i="1" s="1"/>
  <c r="D451" i="1" a="1"/>
  <c r="D451" i="1" s="1"/>
  <c r="C451" i="1" a="1"/>
  <c r="C451" i="1" s="1"/>
  <c r="B451" i="1" a="1"/>
  <c r="B451" i="1" s="1"/>
  <c r="N450" i="1" a="1"/>
  <c r="N450" i="1" s="1"/>
  <c r="M450" i="1" a="1"/>
  <c r="M450" i="1" s="1"/>
  <c r="L450" i="1" a="1"/>
  <c r="L450" i="1" s="1"/>
  <c r="K450" i="1" a="1"/>
  <c r="K450" i="1" s="1"/>
  <c r="F450" i="1" a="1"/>
  <c r="F450" i="1" s="1"/>
  <c r="E450" i="1" a="1"/>
  <c r="E450" i="1" s="1"/>
  <c r="D450" i="1" a="1"/>
  <c r="D450" i="1" s="1"/>
  <c r="C450" i="1" a="1"/>
  <c r="C450" i="1" s="1"/>
  <c r="B450" i="1" a="1"/>
  <c r="B450" i="1" s="1"/>
  <c r="N449" i="1" a="1"/>
  <c r="N449" i="1" s="1"/>
  <c r="M449" i="1" a="1"/>
  <c r="M449" i="1" s="1"/>
  <c r="L449" i="1" a="1"/>
  <c r="L449" i="1" s="1"/>
  <c r="K449" i="1" a="1"/>
  <c r="K449" i="1" s="1"/>
  <c r="F449" i="1" a="1"/>
  <c r="F449" i="1" s="1"/>
  <c r="E449" i="1" a="1"/>
  <c r="E449" i="1" s="1"/>
  <c r="D449" i="1" a="1"/>
  <c r="D449" i="1" s="1"/>
  <c r="C449" i="1" a="1"/>
  <c r="C449" i="1" s="1"/>
  <c r="B449" i="1" a="1"/>
  <c r="B449" i="1" s="1"/>
  <c r="N448" i="1" a="1"/>
  <c r="N448" i="1" s="1"/>
  <c r="M448" i="1" a="1"/>
  <c r="M448" i="1" s="1"/>
  <c r="L448" i="1" a="1"/>
  <c r="L448" i="1" s="1"/>
  <c r="K448" i="1" a="1"/>
  <c r="K448" i="1" s="1"/>
  <c r="F448" i="1" a="1"/>
  <c r="F448" i="1" s="1"/>
  <c r="E448" i="1" a="1"/>
  <c r="E448" i="1" s="1"/>
  <c r="D448" i="1" a="1"/>
  <c r="D448" i="1" s="1"/>
  <c r="C448" i="1" a="1"/>
  <c r="C448" i="1" s="1"/>
  <c r="B448" i="1" a="1"/>
  <c r="B448" i="1" s="1"/>
  <c r="N447" i="1" a="1"/>
  <c r="N447" i="1" s="1"/>
  <c r="M447" i="1" a="1"/>
  <c r="M447" i="1" s="1"/>
  <c r="L447" i="1" a="1"/>
  <c r="L447" i="1" s="1"/>
  <c r="K447" i="1" a="1"/>
  <c r="K447" i="1" s="1"/>
  <c r="F447" i="1" a="1"/>
  <c r="F447" i="1" s="1"/>
  <c r="E447" i="1" a="1"/>
  <c r="E447" i="1" s="1"/>
  <c r="D447" i="1" a="1"/>
  <c r="D447" i="1" s="1"/>
  <c r="C447" i="1" a="1"/>
  <c r="C447" i="1" s="1"/>
  <c r="B447" i="1" a="1"/>
  <c r="B447" i="1" s="1"/>
  <c r="N446" i="1" a="1"/>
  <c r="N446" i="1" s="1"/>
  <c r="M446" i="1" a="1"/>
  <c r="M446" i="1" s="1"/>
  <c r="L446" i="1" a="1"/>
  <c r="L446" i="1" s="1"/>
  <c r="K446" i="1" a="1"/>
  <c r="K446" i="1" s="1"/>
  <c r="F446" i="1" a="1"/>
  <c r="F446" i="1" s="1"/>
  <c r="E446" i="1" a="1"/>
  <c r="E446" i="1" s="1"/>
  <c r="D446" i="1" a="1"/>
  <c r="D446" i="1" s="1"/>
  <c r="C446" i="1" a="1"/>
  <c r="C446" i="1" s="1"/>
  <c r="B446" i="1" a="1"/>
  <c r="B446" i="1" s="1"/>
  <c r="N445" i="1" a="1"/>
  <c r="N445" i="1" s="1"/>
  <c r="M445" i="1" a="1"/>
  <c r="M445" i="1" s="1"/>
  <c r="L445" i="1" a="1"/>
  <c r="L445" i="1" s="1"/>
  <c r="K445" i="1" a="1"/>
  <c r="K445" i="1" s="1"/>
  <c r="F445" i="1" a="1"/>
  <c r="F445" i="1" s="1"/>
  <c r="E445" i="1" a="1"/>
  <c r="E445" i="1" s="1"/>
  <c r="D445" i="1" a="1"/>
  <c r="D445" i="1" s="1"/>
  <c r="C445" i="1" a="1"/>
  <c r="C445" i="1" s="1"/>
  <c r="B445" i="1" a="1"/>
  <c r="B445" i="1" s="1"/>
  <c r="N444" i="1" a="1"/>
  <c r="N444" i="1" s="1"/>
  <c r="M444" i="1" a="1"/>
  <c r="M444" i="1" s="1"/>
  <c r="L444" i="1" a="1"/>
  <c r="L444" i="1" s="1"/>
  <c r="K444" i="1" a="1"/>
  <c r="K444" i="1" s="1"/>
  <c r="F444" i="1" a="1"/>
  <c r="F444" i="1" s="1"/>
  <c r="E444" i="1" a="1"/>
  <c r="E444" i="1" s="1"/>
  <c r="D444" i="1" a="1"/>
  <c r="D444" i="1" s="1"/>
  <c r="C444" i="1" a="1"/>
  <c r="C444" i="1" s="1"/>
  <c r="B444" i="1" a="1"/>
  <c r="B444" i="1" s="1"/>
  <c r="N443" i="1" a="1"/>
  <c r="N443" i="1" s="1"/>
  <c r="M443" i="1" a="1"/>
  <c r="M443" i="1" s="1"/>
  <c r="L443" i="1" a="1"/>
  <c r="L443" i="1" s="1"/>
  <c r="K443" i="1" a="1"/>
  <c r="K443" i="1" s="1"/>
  <c r="F443" i="1" a="1"/>
  <c r="F443" i="1" s="1"/>
  <c r="E443" i="1" a="1"/>
  <c r="E443" i="1" s="1"/>
  <c r="D443" i="1" a="1"/>
  <c r="D443" i="1" s="1"/>
  <c r="C443" i="1" a="1"/>
  <c r="C443" i="1" s="1"/>
  <c r="B443" i="1" a="1"/>
  <c r="B443" i="1" s="1"/>
  <c r="N442" i="1" a="1"/>
  <c r="N442" i="1" s="1"/>
  <c r="M442" i="1" a="1"/>
  <c r="M442" i="1" s="1"/>
  <c r="L442" i="1" a="1"/>
  <c r="L442" i="1" s="1"/>
  <c r="K442" i="1" a="1"/>
  <c r="K442" i="1" s="1"/>
  <c r="F442" i="1" a="1"/>
  <c r="F442" i="1" s="1"/>
  <c r="E442" i="1" a="1"/>
  <c r="E442" i="1" s="1"/>
  <c r="D442" i="1" a="1"/>
  <c r="D442" i="1" s="1"/>
  <c r="C442" i="1" a="1"/>
  <c r="C442" i="1" s="1"/>
  <c r="B442" i="1" a="1"/>
  <c r="B442" i="1" s="1"/>
  <c r="N441" i="1" a="1"/>
  <c r="N441" i="1" s="1"/>
  <c r="M441" i="1" a="1"/>
  <c r="M441" i="1" s="1"/>
  <c r="L441" i="1" a="1"/>
  <c r="L441" i="1" s="1"/>
  <c r="K441" i="1" a="1"/>
  <c r="K441" i="1" s="1"/>
  <c r="F441" i="1" a="1"/>
  <c r="F441" i="1" s="1"/>
  <c r="E441" i="1" a="1"/>
  <c r="E441" i="1" s="1"/>
  <c r="D441" i="1" a="1"/>
  <c r="D441" i="1" s="1"/>
  <c r="C441" i="1" a="1"/>
  <c r="C441" i="1" s="1"/>
  <c r="B441" i="1" a="1"/>
  <c r="B441" i="1" s="1"/>
  <c r="N440" i="1" a="1"/>
  <c r="N440" i="1" s="1"/>
  <c r="M440" i="1" a="1"/>
  <c r="M440" i="1" s="1"/>
  <c r="L440" i="1" a="1"/>
  <c r="L440" i="1" s="1"/>
  <c r="K440" i="1" a="1"/>
  <c r="K440" i="1" s="1"/>
  <c r="F440" i="1" a="1"/>
  <c r="F440" i="1" s="1"/>
  <c r="E440" i="1" a="1"/>
  <c r="E440" i="1" s="1"/>
  <c r="D440" i="1" a="1"/>
  <c r="D440" i="1" s="1"/>
  <c r="C440" i="1" a="1"/>
  <c r="C440" i="1" s="1"/>
  <c r="B440" i="1" a="1"/>
  <c r="B440" i="1" s="1"/>
  <c r="N439" i="1" a="1"/>
  <c r="N439" i="1" s="1"/>
  <c r="M439" i="1" a="1"/>
  <c r="M439" i="1" s="1"/>
  <c r="L439" i="1" a="1"/>
  <c r="L439" i="1" s="1"/>
  <c r="K439" i="1" a="1"/>
  <c r="K439" i="1" s="1"/>
  <c r="F439" i="1" a="1"/>
  <c r="F439" i="1" s="1"/>
  <c r="E439" i="1" a="1"/>
  <c r="E439" i="1" s="1"/>
  <c r="D439" i="1" a="1"/>
  <c r="D439" i="1" s="1"/>
  <c r="C439" i="1" a="1"/>
  <c r="C439" i="1" s="1"/>
  <c r="B439" i="1" a="1"/>
  <c r="B439" i="1" s="1"/>
  <c r="N438" i="1" a="1"/>
  <c r="N438" i="1" s="1"/>
  <c r="M438" i="1" a="1"/>
  <c r="M438" i="1" s="1"/>
  <c r="L438" i="1" a="1"/>
  <c r="L438" i="1" s="1"/>
  <c r="K438" i="1" a="1"/>
  <c r="K438" i="1" s="1"/>
  <c r="F438" i="1" a="1"/>
  <c r="F438" i="1"/>
  <c r="E438" i="1" a="1"/>
  <c r="E438" i="1" s="1"/>
  <c r="D438" i="1" a="1"/>
  <c r="D438" i="1" s="1"/>
  <c r="C438" i="1" a="1"/>
  <c r="C438" i="1" s="1"/>
  <c r="B438" i="1" a="1"/>
  <c r="B438" i="1" s="1"/>
  <c r="N437" i="1" a="1"/>
  <c r="N437" i="1" s="1"/>
  <c r="M437" i="1" a="1"/>
  <c r="M437" i="1" s="1"/>
  <c r="L437" i="1" a="1"/>
  <c r="L437" i="1" s="1"/>
  <c r="K437" i="1" a="1"/>
  <c r="K437" i="1" s="1"/>
  <c r="F437" i="1" a="1"/>
  <c r="F437" i="1" s="1"/>
  <c r="E437" i="1" a="1"/>
  <c r="E437" i="1" s="1"/>
  <c r="D437" i="1" a="1"/>
  <c r="D437" i="1" s="1"/>
  <c r="C437" i="1" a="1"/>
  <c r="C437" i="1" s="1"/>
  <c r="B437" i="1" a="1"/>
  <c r="B437" i="1" s="1"/>
  <c r="N436" i="1" a="1"/>
  <c r="N436" i="1" s="1"/>
  <c r="M436" i="1" a="1"/>
  <c r="M436" i="1" s="1"/>
  <c r="L436" i="1" a="1"/>
  <c r="L436" i="1" s="1"/>
  <c r="K436" i="1" a="1"/>
  <c r="K436" i="1" s="1"/>
  <c r="F436" i="1" a="1"/>
  <c r="F436" i="1" s="1"/>
  <c r="E436" i="1" a="1"/>
  <c r="E436" i="1" s="1"/>
  <c r="D436" i="1" a="1"/>
  <c r="D436" i="1" s="1"/>
  <c r="C436" i="1" a="1"/>
  <c r="C436" i="1" s="1"/>
  <c r="B436" i="1" a="1"/>
  <c r="B436" i="1" s="1"/>
  <c r="N435" i="1" a="1"/>
  <c r="N435" i="1" s="1"/>
  <c r="M435" i="1" a="1"/>
  <c r="M435" i="1" s="1"/>
  <c r="L435" i="1" a="1"/>
  <c r="L435" i="1" s="1"/>
  <c r="K435" i="1" a="1"/>
  <c r="K435" i="1" s="1"/>
  <c r="F435" i="1" a="1"/>
  <c r="F435" i="1" s="1"/>
  <c r="E435" i="1" a="1"/>
  <c r="E435" i="1" s="1"/>
  <c r="D435" i="1" a="1"/>
  <c r="D435" i="1" s="1"/>
  <c r="C435" i="1" a="1"/>
  <c r="C435" i="1" s="1"/>
  <c r="B435" i="1" a="1"/>
  <c r="B435" i="1" s="1"/>
  <c r="N434" i="1" a="1"/>
  <c r="N434" i="1" s="1"/>
  <c r="M434" i="1" a="1"/>
  <c r="M434" i="1" s="1"/>
  <c r="L434" i="1" a="1"/>
  <c r="L434" i="1" s="1"/>
  <c r="K434" i="1" a="1"/>
  <c r="K434" i="1" s="1"/>
  <c r="F434" i="1" a="1"/>
  <c r="F434" i="1" s="1"/>
  <c r="E434" i="1" a="1"/>
  <c r="E434" i="1" s="1"/>
  <c r="D434" i="1" a="1"/>
  <c r="D434" i="1" s="1"/>
  <c r="C434" i="1" a="1"/>
  <c r="C434" i="1" s="1"/>
  <c r="B434" i="1" a="1"/>
  <c r="B434" i="1" s="1"/>
  <c r="N433" i="1" a="1"/>
  <c r="N433" i="1" s="1"/>
  <c r="M433" i="1" a="1"/>
  <c r="M433" i="1" s="1"/>
  <c r="L433" i="1" a="1"/>
  <c r="L433" i="1" s="1"/>
  <c r="K433" i="1" a="1"/>
  <c r="K433" i="1" s="1"/>
  <c r="F433" i="1" a="1"/>
  <c r="F433" i="1" s="1"/>
  <c r="E433" i="1" a="1"/>
  <c r="E433" i="1" s="1"/>
  <c r="D433" i="1" a="1"/>
  <c r="D433" i="1" s="1"/>
  <c r="C433" i="1" a="1"/>
  <c r="C433" i="1"/>
  <c r="B433" i="1" a="1"/>
  <c r="B433" i="1" s="1"/>
  <c r="N432" i="1" a="1"/>
  <c r="N432" i="1" s="1"/>
  <c r="M432" i="1" a="1"/>
  <c r="M432" i="1" s="1"/>
  <c r="L432" i="1" a="1"/>
  <c r="L432" i="1" s="1"/>
  <c r="K432" i="1" a="1"/>
  <c r="K432" i="1" s="1"/>
  <c r="F432" i="1" a="1"/>
  <c r="F432" i="1" s="1"/>
  <c r="E432" i="1" a="1"/>
  <c r="E432" i="1" s="1"/>
  <c r="D432" i="1" a="1"/>
  <c r="D432" i="1" s="1"/>
  <c r="C432" i="1" a="1"/>
  <c r="C432" i="1" s="1"/>
  <c r="B432" i="1" a="1"/>
  <c r="B432" i="1" s="1"/>
  <c r="N431" i="1" a="1"/>
  <c r="N431" i="1" s="1"/>
  <c r="M431" i="1" a="1"/>
  <c r="M431" i="1" s="1"/>
  <c r="L431" i="1" a="1"/>
  <c r="L431" i="1" s="1"/>
  <c r="K431" i="1" a="1"/>
  <c r="K431" i="1" s="1"/>
  <c r="F431" i="1" a="1"/>
  <c r="F431" i="1" s="1"/>
  <c r="E431" i="1" a="1"/>
  <c r="E431" i="1" s="1"/>
  <c r="D431" i="1" a="1"/>
  <c r="D431" i="1" s="1"/>
  <c r="C431" i="1" a="1"/>
  <c r="C431" i="1" s="1"/>
  <c r="B431" i="1" a="1"/>
  <c r="B431" i="1" s="1"/>
  <c r="N430" i="1" a="1"/>
  <c r="N430" i="1" s="1"/>
  <c r="M430" i="1" a="1"/>
  <c r="M430" i="1" s="1"/>
  <c r="L430" i="1" a="1"/>
  <c r="L430" i="1" s="1"/>
  <c r="K430" i="1" a="1"/>
  <c r="K430" i="1" s="1"/>
  <c r="F430" i="1" a="1"/>
  <c r="F430" i="1" s="1"/>
  <c r="E430" i="1" a="1"/>
  <c r="E430" i="1" s="1"/>
  <c r="D430" i="1" a="1"/>
  <c r="D430" i="1" s="1"/>
  <c r="C430" i="1" a="1"/>
  <c r="C430" i="1" s="1"/>
  <c r="B430" i="1" a="1"/>
  <c r="B430" i="1" s="1"/>
  <c r="N429" i="1" a="1"/>
  <c r="N429" i="1" s="1"/>
  <c r="M429" i="1" a="1"/>
  <c r="M429" i="1" s="1"/>
  <c r="L429" i="1" a="1"/>
  <c r="L429" i="1" s="1"/>
  <c r="K429" i="1" a="1"/>
  <c r="K429" i="1" s="1"/>
  <c r="F429" i="1" a="1"/>
  <c r="F429" i="1" s="1"/>
  <c r="E429" i="1" a="1"/>
  <c r="E429" i="1" s="1"/>
  <c r="D429" i="1" a="1"/>
  <c r="D429" i="1" s="1"/>
  <c r="C429" i="1" a="1"/>
  <c r="C429" i="1" s="1"/>
  <c r="B429" i="1" a="1"/>
  <c r="B429" i="1" s="1"/>
  <c r="N428" i="1" a="1"/>
  <c r="N428" i="1" s="1"/>
  <c r="M428" i="1" a="1"/>
  <c r="M428" i="1" s="1"/>
  <c r="L428" i="1" a="1"/>
  <c r="L428" i="1" s="1"/>
  <c r="K428" i="1" a="1"/>
  <c r="K428" i="1" s="1"/>
  <c r="F428" i="1" a="1"/>
  <c r="F428" i="1" s="1"/>
  <c r="E428" i="1" a="1"/>
  <c r="E428" i="1" s="1"/>
  <c r="D428" i="1" a="1"/>
  <c r="D428" i="1" s="1"/>
  <c r="C428" i="1" a="1"/>
  <c r="C428" i="1" s="1"/>
  <c r="B428" i="1" a="1"/>
  <c r="B428" i="1" s="1"/>
  <c r="N427" i="1" a="1"/>
  <c r="N427" i="1" s="1"/>
  <c r="M427" i="1" a="1"/>
  <c r="M427" i="1" s="1"/>
  <c r="L427" i="1" a="1"/>
  <c r="L427" i="1" s="1"/>
  <c r="K427" i="1" a="1"/>
  <c r="K427" i="1" s="1"/>
  <c r="F427" i="1" a="1"/>
  <c r="F427" i="1" s="1"/>
  <c r="E427" i="1" a="1"/>
  <c r="E427" i="1" s="1"/>
  <c r="D427" i="1" a="1"/>
  <c r="D427" i="1" s="1"/>
  <c r="C427" i="1" a="1"/>
  <c r="C427" i="1" s="1"/>
  <c r="B427" i="1" a="1"/>
  <c r="B427" i="1" s="1"/>
  <c r="N426" i="1" a="1"/>
  <c r="N426" i="1" s="1"/>
  <c r="M426" i="1" a="1"/>
  <c r="M426" i="1" s="1"/>
  <c r="L426" i="1" a="1"/>
  <c r="L426" i="1" s="1"/>
  <c r="K426" i="1" a="1"/>
  <c r="K426" i="1" s="1"/>
  <c r="F426" i="1" a="1"/>
  <c r="F426" i="1" s="1"/>
  <c r="E426" i="1" a="1"/>
  <c r="E426" i="1" s="1"/>
  <c r="D426" i="1" a="1"/>
  <c r="D426" i="1" s="1"/>
  <c r="C426" i="1" a="1"/>
  <c r="C426" i="1" s="1"/>
  <c r="B426" i="1" a="1"/>
  <c r="B426" i="1" s="1"/>
  <c r="N425" i="1" a="1"/>
  <c r="N425" i="1" s="1"/>
  <c r="M425" i="1" a="1"/>
  <c r="M425" i="1" s="1"/>
  <c r="L425" i="1" a="1"/>
  <c r="L425" i="1" s="1"/>
  <c r="K425" i="1" a="1"/>
  <c r="K425" i="1" s="1"/>
  <c r="F425" i="1" a="1"/>
  <c r="F425" i="1" s="1"/>
  <c r="E425" i="1" a="1"/>
  <c r="E425" i="1" s="1"/>
  <c r="D425" i="1" a="1"/>
  <c r="D425" i="1" s="1"/>
  <c r="C425" i="1" a="1"/>
  <c r="C425" i="1" s="1"/>
  <c r="B425" i="1" a="1"/>
  <c r="B425" i="1" s="1"/>
  <c r="N424" i="1" a="1"/>
  <c r="N424" i="1" s="1"/>
  <c r="M424" i="1" a="1"/>
  <c r="M424" i="1" s="1"/>
  <c r="L424" i="1" a="1"/>
  <c r="L424" i="1" s="1"/>
  <c r="K424" i="1" a="1"/>
  <c r="K424" i="1" s="1"/>
  <c r="F424" i="1" a="1"/>
  <c r="F424" i="1" s="1"/>
  <c r="E424" i="1" a="1"/>
  <c r="E424" i="1" s="1"/>
  <c r="D424" i="1" a="1"/>
  <c r="D424" i="1" s="1"/>
  <c r="C424" i="1" a="1"/>
  <c r="C424" i="1" s="1"/>
  <c r="B424" i="1" a="1"/>
  <c r="B424" i="1" s="1"/>
  <c r="N423" i="1" a="1"/>
  <c r="N423" i="1" s="1"/>
  <c r="M423" i="1" a="1"/>
  <c r="M423" i="1" s="1"/>
  <c r="L423" i="1" a="1"/>
  <c r="L423" i="1" s="1"/>
  <c r="K423" i="1" a="1"/>
  <c r="K423" i="1" s="1"/>
  <c r="F423" i="1" a="1"/>
  <c r="F423" i="1" s="1"/>
  <c r="E423" i="1" a="1"/>
  <c r="E423" i="1" s="1"/>
  <c r="D423" i="1" a="1"/>
  <c r="D423" i="1" s="1"/>
  <c r="C423" i="1" a="1"/>
  <c r="C423" i="1" s="1"/>
  <c r="B423" i="1" a="1"/>
  <c r="B423" i="1" s="1"/>
  <c r="N422" i="1" a="1"/>
  <c r="N422" i="1" s="1"/>
  <c r="M422" i="1" a="1"/>
  <c r="M422" i="1" s="1"/>
  <c r="L422" i="1" a="1"/>
  <c r="L422" i="1" s="1"/>
  <c r="K422" i="1" a="1"/>
  <c r="K422" i="1" s="1"/>
  <c r="F422" i="1" a="1"/>
  <c r="F422" i="1" s="1"/>
  <c r="E422" i="1" a="1"/>
  <c r="E422" i="1" s="1"/>
  <c r="D422" i="1" a="1"/>
  <c r="D422" i="1" s="1"/>
  <c r="C422" i="1" a="1"/>
  <c r="C422" i="1" s="1"/>
  <c r="B422" i="1" a="1"/>
  <c r="B422" i="1" s="1"/>
  <c r="N421" i="1" a="1"/>
  <c r="N421" i="1" s="1"/>
  <c r="M421" i="1" a="1"/>
  <c r="M421" i="1" s="1"/>
  <c r="L421" i="1" a="1"/>
  <c r="L421" i="1" s="1"/>
  <c r="K421" i="1" a="1"/>
  <c r="K421" i="1" s="1"/>
  <c r="F421" i="1" a="1"/>
  <c r="F421" i="1" s="1"/>
  <c r="E421" i="1" a="1"/>
  <c r="E421" i="1" s="1"/>
  <c r="D421" i="1" a="1"/>
  <c r="D421" i="1" s="1"/>
  <c r="C421" i="1" a="1"/>
  <c r="C421" i="1" s="1"/>
  <c r="B421" i="1" a="1"/>
  <c r="B421" i="1" s="1"/>
  <c r="N420" i="1" a="1"/>
  <c r="N420" i="1" s="1"/>
  <c r="M420" i="1" a="1"/>
  <c r="M420" i="1" s="1"/>
  <c r="L420" i="1" a="1"/>
  <c r="L420" i="1" s="1"/>
  <c r="K420" i="1" a="1"/>
  <c r="K420" i="1" s="1"/>
  <c r="F420" i="1" a="1"/>
  <c r="F420" i="1" s="1"/>
  <c r="E420" i="1" a="1"/>
  <c r="E420" i="1" s="1"/>
  <c r="D420" i="1" a="1"/>
  <c r="D420" i="1" s="1"/>
  <c r="C420" i="1" a="1"/>
  <c r="C420" i="1" s="1"/>
  <c r="B420" i="1" a="1"/>
  <c r="B420" i="1" s="1"/>
  <c r="N419" i="1" a="1"/>
  <c r="N419" i="1" s="1"/>
  <c r="M419" i="1" a="1"/>
  <c r="M419" i="1" s="1"/>
  <c r="L419" i="1" a="1"/>
  <c r="L419" i="1" s="1"/>
  <c r="K419" i="1" a="1"/>
  <c r="K419" i="1" s="1"/>
  <c r="F419" i="1" a="1"/>
  <c r="F419" i="1" s="1"/>
  <c r="E419" i="1" a="1"/>
  <c r="E419" i="1" s="1"/>
  <c r="D419" i="1" a="1"/>
  <c r="D419" i="1" s="1"/>
  <c r="C419" i="1" a="1"/>
  <c r="C419" i="1" s="1"/>
  <c r="B419" i="1" a="1"/>
  <c r="B419" i="1" s="1"/>
  <c r="N418" i="1" a="1"/>
  <c r="N418" i="1" s="1"/>
  <c r="M418" i="1" a="1"/>
  <c r="M418" i="1" s="1"/>
  <c r="L418" i="1" a="1"/>
  <c r="L418" i="1" s="1"/>
  <c r="K418" i="1" a="1"/>
  <c r="K418" i="1" s="1"/>
  <c r="F418" i="1" a="1"/>
  <c r="F418" i="1" s="1"/>
  <c r="E418" i="1" a="1"/>
  <c r="E418" i="1" s="1"/>
  <c r="D418" i="1" a="1"/>
  <c r="D418" i="1" s="1"/>
  <c r="C418" i="1" a="1"/>
  <c r="C418" i="1" s="1"/>
  <c r="B418" i="1" a="1"/>
  <c r="B418" i="1" s="1"/>
  <c r="N417" i="1" a="1"/>
  <c r="N417" i="1" s="1"/>
  <c r="M417" i="1" a="1"/>
  <c r="M417" i="1" s="1"/>
  <c r="L417" i="1" a="1"/>
  <c r="L417" i="1" s="1"/>
  <c r="K417" i="1" a="1"/>
  <c r="K417" i="1" s="1"/>
  <c r="F417" i="1" a="1"/>
  <c r="F417" i="1" s="1"/>
  <c r="E417" i="1" a="1"/>
  <c r="E417" i="1" s="1"/>
  <c r="D417" i="1" a="1"/>
  <c r="D417" i="1" s="1"/>
  <c r="C417" i="1" a="1"/>
  <c r="C417" i="1" s="1"/>
  <c r="B417" i="1" a="1"/>
  <c r="B417" i="1" s="1"/>
  <c r="N416" i="1" a="1"/>
  <c r="N416" i="1" s="1"/>
  <c r="M416" i="1" a="1"/>
  <c r="M416" i="1" s="1"/>
  <c r="L416" i="1" a="1"/>
  <c r="L416" i="1" s="1"/>
  <c r="K416" i="1" a="1"/>
  <c r="K416" i="1" s="1"/>
  <c r="F416" i="1" a="1"/>
  <c r="F416" i="1" s="1"/>
  <c r="E416" i="1" a="1"/>
  <c r="E416" i="1" s="1"/>
  <c r="D416" i="1" a="1"/>
  <c r="D416" i="1" s="1"/>
  <c r="C416" i="1" a="1"/>
  <c r="C416" i="1" s="1"/>
  <c r="B416" i="1" a="1"/>
  <c r="B416" i="1" s="1"/>
  <c r="N415" i="1" a="1"/>
  <c r="N415" i="1" s="1"/>
  <c r="M415" i="1" a="1"/>
  <c r="M415" i="1" s="1"/>
  <c r="L415" i="1" a="1"/>
  <c r="L415" i="1" s="1"/>
  <c r="K415" i="1" a="1"/>
  <c r="K415" i="1" s="1"/>
  <c r="F415" i="1" a="1"/>
  <c r="F415" i="1" s="1"/>
  <c r="E415" i="1" a="1"/>
  <c r="E415" i="1" s="1"/>
  <c r="D415" i="1" a="1"/>
  <c r="D415" i="1" s="1"/>
  <c r="C415" i="1" a="1"/>
  <c r="C415" i="1" s="1"/>
  <c r="B415" i="1" a="1"/>
  <c r="B415" i="1" s="1"/>
  <c r="N414" i="1" a="1"/>
  <c r="N414" i="1" s="1"/>
  <c r="M414" i="1" a="1"/>
  <c r="M414" i="1" s="1"/>
  <c r="L414" i="1" a="1"/>
  <c r="L414" i="1" s="1"/>
  <c r="K414" i="1" a="1"/>
  <c r="K414" i="1" s="1"/>
  <c r="F414" i="1" a="1"/>
  <c r="F414" i="1" s="1"/>
  <c r="E414" i="1" a="1"/>
  <c r="E414" i="1" s="1"/>
  <c r="D414" i="1" a="1"/>
  <c r="D414" i="1" s="1"/>
  <c r="C414" i="1" a="1"/>
  <c r="C414" i="1" s="1"/>
  <c r="B414" i="1" a="1"/>
  <c r="B414" i="1" s="1"/>
  <c r="N413" i="1" a="1"/>
  <c r="N413" i="1" s="1"/>
  <c r="M413" i="1" a="1"/>
  <c r="M413" i="1" s="1"/>
  <c r="L413" i="1" a="1"/>
  <c r="L413" i="1" s="1"/>
  <c r="K413" i="1" a="1"/>
  <c r="K413" i="1" s="1"/>
  <c r="F413" i="1" a="1"/>
  <c r="F413" i="1" s="1"/>
  <c r="E413" i="1" a="1"/>
  <c r="E413" i="1" s="1"/>
  <c r="D413" i="1" a="1"/>
  <c r="D413" i="1" s="1"/>
  <c r="C413" i="1" a="1"/>
  <c r="C413" i="1" s="1"/>
  <c r="B413" i="1" a="1"/>
  <c r="B413" i="1" s="1"/>
  <c r="N412" i="1" a="1"/>
  <c r="N412" i="1" s="1"/>
  <c r="M412" i="1" a="1"/>
  <c r="M412" i="1" s="1"/>
  <c r="L412" i="1" a="1"/>
  <c r="L412" i="1" s="1"/>
  <c r="K412" i="1" a="1"/>
  <c r="K412" i="1" s="1"/>
  <c r="F412" i="1" a="1"/>
  <c r="F412" i="1" s="1"/>
  <c r="E412" i="1" a="1"/>
  <c r="E412" i="1" s="1"/>
  <c r="D412" i="1" a="1"/>
  <c r="D412" i="1" s="1"/>
  <c r="C412" i="1" a="1"/>
  <c r="C412" i="1" s="1"/>
  <c r="B412" i="1" a="1"/>
  <c r="B412" i="1" s="1"/>
  <c r="N411" i="1" a="1"/>
  <c r="N411" i="1" s="1"/>
  <c r="M411" i="1" a="1"/>
  <c r="M411" i="1" s="1"/>
  <c r="L411" i="1" a="1"/>
  <c r="L411" i="1" s="1"/>
  <c r="K411" i="1" a="1"/>
  <c r="K411" i="1" s="1"/>
  <c r="F411" i="1" a="1"/>
  <c r="F411" i="1" s="1"/>
  <c r="E411" i="1" a="1"/>
  <c r="E411" i="1" s="1"/>
  <c r="D411" i="1" a="1"/>
  <c r="D411" i="1" s="1"/>
  <c r="C411" i="1" a="1"/>
  <c r="C411" i="1" s="1"/>
  <c r="B411" i="1" a="1"/>
  <c r="B411" i="1" s="1"/>
  <c r="N410" i="1" a="1"/>
  <c r="N410" i="1" s="1"/>
  <c r="M410" i="1" a="1"/>
  <c r="M410" i="1" s="1"/>
  <c r="L410" i="1" a="1"/>
  <c r="L410" i="1" s="1"/>
  <c r="K410" i="1" a="1"/>
  <c r="K410" i="1" s="1"/>
  <c r="F410" i="1" a="1"/>
  <c r="F410" i="1" s="1"/>
  <c r="E410" i="1" a="1"/>
  <c r="E410" i="1" s="1"/>
  <c r="D410" i="1" a="1"/>
  <c r="D410" i="1" s="1"/>
  <c r="C410" i="1" a="1"/>
  <c r="C410" i="1" s="1"/>
  <c r="B410" i="1" a="1"/>
  <c r="B410" i="1" s="1"/>
  <c r="N409" i="1" a="1"/>
  <c r="N409" i="1" s="1"/>
  <c r="M409" i="1" a="1"/>
  <c r="M409" i="1" s="1"/>
  <c r="L409" i="1" a="1"/>
  <c r="L409" i="1" s="1"/>
  <c r="K409" i="1" a="1"/>
  <c r="K409" i="1" s="1"/>
  <c r="F409" i="1" a="1"/>
  <c r="F409" i="1" s="1"/>
  <c r="E409" i="1" a="1"/>
  <c r="E409" i="1" s="1"/>
  <c r="D409" i="1" a="1"/>
  <c r="D409" i="1" s="1"/>
  <c r="C409" i="1" a="1"/>
  <c r="C409" i="1" s="1"/>
  <c r="B409" i="1" a="1"/>
  <c r="B409" i="1" s="1"/>
  <c r="N408" i="1" a="1"/>
  <c r="N408" i="1" s="1"/>
  <c r="M408" i="1" a="1"/>
  <c r="M408" i="1" s="1"/>
  <c r="L408" i="1" a="1"/>
  <c r="L408" i="1" s="1"/>
  <c r="K408" i="1" a="1"/>
  <c r="K408" i="1" s="1"/>
  <c r="F408" i="1" a="1"/>
  <c r="F408" i="1" s="1"/>
  <c r="E408" i="1" a="1"/>
  <c r="E408" i="1" s="1"/>
  <c r="D408" i="1" a="1"/>
  <c r="D408" i="1" s="1"/>
  <c r="C408" i="1" a="1"/>
  <c r="C408" i="1" s="1"/>
  <c r="B408" i="1" a="1"/>
  <c r="B408" i="1" s="1"/>
  <c r="N407" i="1" a="1"/>
  <c r="N407" i="1" s="1"/>
  <c r="M407" i="1" a="1"/>
  <c r="M407" i="1" s="1"/>
  <c r="L407" i="1" a="1"/>
  <c r="L407" i="1" s="1"/>
  <c r="K407" i="1" a="1"/>
  <c r="K407" i="1" s="1"/>
  <c r="F407" i="1" a="1"/>
  <c r="F407" i="1" s="1"/>
  <c r="E407" i="1" a="1"/>
  <c r="E407" i="1" s="1"/>
  <c r="D407" i="1" a="1"/>
  <c r="D407" i="1" s="1"/>
  <c r="C407" i="1" a="1"/>
  <c r="C407" i="1" s="1"/>
  <c r="B407" i="1" a="1"/>
  <c r="B407" i="1" s="1"/>
  <c r="N406" i="1" a="1"/>
  <c r="N406" i="1" s="1"/>
  <c r="M406" i="1" a="1"/>
  <c r="M406" i="1" s="1"/>
  <c r="L406" i="1" a="1"/>
  <c r="L406" i="1" s="1"/>
  <c r="K406" i="1" a="1"/>
  <c r="K406" i="1" s="1"/>
  <c r="F406" i="1" a="1"/>
  <c r="F406" i="1" s="1"/>
  <c r="E406" i="1" a="1"/>
  <c r="E406" i="1" s="1"/>
  <c r="D406" i="1" a="1"/>
  <c r="D406" i="1" s="1"/>
  <c r="C406" i="1" a="1"/>
  <c r="C406" i="1" s="1"/>
  <c r="B406" i="1" a="1"/>
  <c r="B406" i="1" s="1"/>
  <c r="N405" i="1" a="1"/>
  <c r="N405" i="1" s="1"/>
  <c r="M405" i="1" a="1"/>
  <c r="M405" i="1" s="1"/>
  <c r="L405" i="1" a="1"/>
  <c r="L405" i="1" s="1"/>
  <c r="K405" i="1" a="1"/>
  <c r="K405" i="1" s="1"/>
  <c r="F405" i="1" a="1"/>
  <c r="F405" i="1" s="1"/>
  <c r="E405" i="1" a="1"/>
  <c r="E405" i="1" s="1"/>
  <c r="D405" i="1" a="1"/>
  <c r="D405" i="1" s="1"/>
  <c r="C405" i="1" a="1"/>
  <c r="C405" i="1" s="1"/>
  <c r="B405" i="1" a="1"/>
  <c r="B405" i="1" s="1"/>
  <c r="N404" i="1" a="1"/>
  <c r="N404" i="1" s="1"/>
  <c r="M404" i="1" a="1"/>
  <c r="M404" i="1" s="1"/>
  <c r="L404" i="1" a="1"/>
  <c r="L404" i="1" s="1"/>
  <c r="K404" i="1" a="1"/>
  <c r="K404" i="1" s="1"/>
  <c r="F404" i="1" a="1"/>
  <c r="F404" i="1" s="1"/>
  <c r="E404" i="1" a="1"/>
  <c r="E404" i="1" s="1"/>
  <c r="D404" i="1" a="1"/>
  <c r="D404" i="1" s="1"/>
  <c r="C404" i="1" a="1"/>
  <c r="C404" i="1" s="1"/>
  <c r="B404" i="1" a="1"/>
  <c r="B404" i="1" s="1"/>
  <c r="N403" i="1" a="1"/>
  <c r="N403" i="1" s="1"/>
  <c r="M403" i="1" a="1"/>
  <c r="M403" i="1" s="1"/>
  <c r="L403" i="1" a="1"/>
  <c r="L403" i="1" s="1"/>
  <c r="K403" i="1" a="1"/>
  <c r="K403" i="1" s="1"/>
  <c r="F403" i="1" a="1"/>
  <c r="F403" i="1" s="1"/>
  <c r="E403" i="1" a="1"/>
  <c r="E403" i="1" s="1"/>
  <c r="D403" i="1" a="1"/>
  <c r="D403" i="1" s="1"/>
  <c r="C403" i="1" a="1"/>
  <c r="C403" i="1" s="1"/>
  <c r="B403" i="1" a="1"/>
  <c r="B403" i="1" s="1"/>
  <c r="N402" i="1" a="1"/>
  <c r="N402" i="1" s="1"/>
  <c r="M402" i="1" a="1"/>
  <c r="M402" i="1" s="1"/>
  <c r="L402" i="1" a="1"/>
  <c r="L402" i="1" s="1"/>
  <c r="K402" i="1" a="1"/>
  <c r="K402" i="1" s="1"/>
  <c r="F402" i="1" a="1"/>
  <c r="F402" i="1" s="1"/>
  <c r="E402" i="1" a="1"/>
  <c r="E402" i="1" s="1"/>
  <c r="D402" i="1" a="1"/>
  <c r="D402" i="1" s="1"/>
  <c r="C402" i="1" a="1"/>
  <c r="C402" i="1" s="1"/>
  <c r="B402" i="1" a="1"/>
  <c r="B402" i="1" s="1"/>
  <c r="N401" i="1" a="1"/>
  <c r="N401" i="1" s="1"/>
  <c r="M401" i="1" a="1"/>
  <c r="M401" i="1" s="1"/>
  <c r="L401" i="1" a="1"/>
  <c r="L401" i="1" s="1"/>
  <c r="K401" i="1" a="1"/>
  <c r="K401" i="1" s="1"/>
  <c r="F401" i="1" a="1"/>
  <c r="F401" i="1" s="1"/>
  <c r="E401" i="1" a="1"/>
  <c r="E401" i="1" s="1"/>
  <c r="D401" i="1" a="1"/>
  <c r="D401" i="1" s="1"/>
  <c r="C401" i="1" a="1"/>
  <c r="C401" i="1" s="1"/>
  <c r="B401" i="1" a="1"/>
  <c r="B401" i="1" s="1"/>
  <c r="N400" i="1" a="1"/>
  <c r="N400" i="1" s="1"/>
  <c r="M400" i="1" a="1"/>
  <c r="M400" i="1"/>
  <c r="L400" i="1" a="1"/>
  <c r="L400" i="1" s="1"/>
  <c r="K400" i="1" a="1"/>
  <c r="K400" i="1" s="1"/>
  <c r="F400" i="1" a="1"/>
  <c r="F400" i="1" s="1"/>
  <c r="E400" i="1" a="1"/>
  <c r="E400" i="1" s="1"/>
  <c r="D400" i="1" a="1"/>
  <c r="D400" i="1" s="1"/>
  <c r="C400" i="1" a="1"/>
  <c r="C400" i="1" s="1"/>
  <c r="B400" i="1" a="1"/>
  <c r="B400" i="1" s="1"/>
  <c r="N399" i="1" a="1"/>
  <c r="N399" i="1" s="1"/>
  <c r="M399" i="1" a="1"/>
  <c r="M399" i="1" s="1"/>
  <c r="L399" i="1" a="1"/>
  <c r="L399" i="1" s="1"/>
  <c r="K399" i="1" a="1"/>
  <c r="K399" i="1" s="1"/>
  <c r="F399" i="1" a="1"/>
  <c r="F399" i="1" s="1"/>
  <c r="E399" i="1" a="1"/>
  <c r="E399" i="1" s="1"/>
  <c r="D399" i="1" a="1"/>
  <c r="D399" i="1" s="1"/>
  <c r="C399" i="1" a="1"/>
  <c r="C399" i="1" s="1"/>
  <c r="B399" i="1" a="1"/>
  <c r="B399" i="1" s="1"/>
  <c r="N398" i="1" a="1"/>
  <c r="N398" i="1" s="1"/>
  <c r="M398" i="1" a="1"/>
  <c r="M398" i="1" s="1"/>
  <c r="L398" i="1" a="1"/>
  <c r="L398" i="1" s="1"/>
  <c r="K398" i="1" a="1"/>
  <c r="K398" i="1" s="1"/>
  <c r="F398" i="1" a="1"/>
  <c r="F398" i="1" s="1"/>
  <c r="E398" i="1" a="1"/>
  <c r="E398" i="1" s="1"/>
  <c r="D398" i="1" a="1"/>
  <c r="D398" i="1" s="1"/>
  <c r="C398" i="1" a="1"/>
  <c r="C398" i="1" s="1"/>
  <c r="B398" i="1" a="1"/>
  <c r="B398" i="1" s="1"/>
  <c r="N397" i="1" a="1"/>
  <c r="N397" i="1" s="1"/>
  <c r="M397" i="1" a="1"/>
  <c r="M397" i="1" s="1"/>
  <c r="L397" i="1" a="1"/>
  <c r="L397" i="1" s="1"/>
  <c r="K397" i="1" a="1"/>
  <c r="K397" i="1" s="1"/>
  <c r="F397" i="1" a="1"/>
  <c r="F397" i="1" s="1"/>
  <c r="E397" i="1" a="1"/>
  <c r="E397" i="1" s="1"/>
  <c r="D397" i="1" a="1"/>
  <c r="D397" i="1" s="1"/>
  <c r="C397" i="1" a="1"/>
  <c r="C397" i="1" s="1"/>
  <c r="B397" i="1" a="1"/>
  <c r="B397" i="1" s="1"/>
  <c r="N396" i="1" a="1"/>
  <c r="N396" i="1" s="1"/>
  <c r="M396" i="1" a="1"/>
  <c r="M396" i="1" s="1"/>
  <c r="L396" i="1" a="1"/>
  <c r="L396" i="1" s="1"/>
  <c r="K396" i="1" a="1"/>
  <c r="K396" i="1" s="1"/>
  <c r="F396" i="1" a="1"/>
  <c r="F396" i="1" s="1"/>
  <c r="E396" i="1" a="1"/>
  <c r="E396" i="1" s="1"/>
  <c r="D396" i="1" a="1"/>
  <c r="D396" i="1" s="1"/>
  <c r="C396" i="1" a="1"/>
  <c r="C396" i="1" s="1"/>
  <c r="B396" i="1" a="1"/>
  <c r="B396" i="1" s="1"/>
  <c r="N395" i="1" a="1"/>
  <c r="N395" i="1" s="1"/>
  <c r="M395" i="1" a="1"/>
  <c r="M395" i="1" s="1"/>
  <c r="L395" i="1" a="1"/>
  <c r="L395" i="1" s="1"/>
  <c r="K395" i="1" a="1"/>
  <c r="K395" i="1" s="1"/>
  <c r="F395" i="1" a="1"/>
  <c r="F395" i="1" s="1"/>
  <c r="E395" i="1" a="1"/>
  <c r="E395" i="1" s="1"/>
  <c r="D395" i="1" a="1"/>
  <c r="D395" i="1" s="1"/>
  <c r="C395" i="1" a="1"/>
  <c r="C395" i="1" s="1"/>
  <c r="B395" i="1" a="1"/>
  <c r="B395" i="1" s="1"/>
  <c r="N394" i="1" a="1"/>
  <c r="N394" i="1" s="1"/>
  <c r="M394" i="1" a="1"/>
  <c r="M394" i="1" s="1"/>
  <c r="L394" i="1" a="1"/>
  <c r="L394" i="1" s="1"/>
  <c r="K394" i="1" a="1"/>
  <c r="K394" i="1" s="1"/>
  <c r="F394" i="1" a="1"/>
  <c r="F394" i="1" s="1"/>
  <c r="E394" i="1" a="1"/>
  <c r="E394" i="1" s="1"/>
  <c r="D394" i="1" a="1"/>
  <c r="D394" i="1" s="1"/>
  <c r="C394" i="1" a="1"/>
  <c r="C394" i="1" s="1"/>
  <c r="B394" i="1" a="1"/>
  <c r="B394" i="1" s="1"/>
  <c r="N393" i="1" a="1"/>
  <c r="N393" i="1" s="1"/>
  <c r="M393" i="1" a="1"/>
  <c r="M393" i="1" s="1"/>
  <c r="L393" i="1" a="1"/>
  <c r="L393" i="1" s="1"/>
  <c r="K393" i="1" a="1"/>
  <c r="K393" i="1" s="1"/>
  <c r="F393" i="1" a="1"/>
  <c r="F393" i="1" s="1"/>
  <c r="E393" i="1" a="1"/>
  <c r="E393" i="1" s="1"/>
  <c r="D393" i="1" a="1"/>
  <c r="D393" i="1" s="1"/>
  <c r="C393" i="1" a="1"/>
  <c r="C393" i="1" s="1"/>
  <c r="B393" i="1" a="1"/>
  <c r="B393" i="1" s="1"/>
  <c r="N392" i="1" a="1"/>
  <c r="N392" i="1" s="1"/>
  <c r="M392" i="1" a="1"/>
  <c r="M392" i="1" s="1"/>
  <c r="L392" i="1" a="1"/>
  <c r="L392" i="1" s="1"/>
  <c r="K392" i="1" a="1"/>
  <c r="K392" i="1" s="1"/>
  <c r="F392" i="1" a="1"/>
  <c r="F392" i="1" s="1"/>
  <c r="E392" i="1" a="1"/>
  <c r="E392" i="1" s="1"/>
  <c r="D392" i="1" a="1"/>
  <c r="D392" i="1" s="1"/>
  <c r="C392" i="1" a="1"/>
  <c r="C392" i="1" s="1"/>
  <c r="B392" i="1" a="1"/>
  <c r="B392" i="1" s="1"/>
  <c r="N391" i="1" a="1"/>
  <c r="N391" i="1" s="1"/>
  <c r="M391" i="1" a="1"/>
  <c r="M391" i="1" s="1"/>
  <c r="L391" i="1" a="1"/>
  <c r="L391" i="1" s="1"/>
  <c r="K391" i="1" a="1"/>
  <c r="K391" i="1" s="1"/>
  <c r="F391" i="1" a="1"/>
  <c r="F391" i="1" s="1"/>
  <c r="E391" i="1" a="1"/>
  <c r="E391" i="1" s="1"/>
  <c r="D391" i="1" a="1"/>
  <c r="D391" i="1" s="1"/>
  <c r="C391" i="1" a="1"/>
  <c r="C391" i="1" s="1"/>
  <c r="B391" i="1" a="1"/>
  <c r="B391" i="1" s="1"/>
  <c r="N390" i="1" a="1"/>
  <c r="N390" i="1" s="1"/>
  <c r="M390" i="1" a="1"/>
  <c r="M390" i="1" s="1"/>
  <c r="L390" i="1" a="1"/>
  <c r="L390" i="1" s="1"/>
  <c r="K390" i="1" a="1"/>
  <c r="K390" i="1" s="1"/>
  <c r="F390" i="1" a="1"/>
  <c r="F390" i="1" s="1"/>
  <c r="E390" i="1" a="1"/>
  <c r="E390" i="1" s="1"/>
  <c r="D390" i="1" a="1"/>
  <c r="D390" i="1" s="1"/>
  <c r="C390" i="1" a="1"/>
  <c r="C390" i="1" s="1"/>
  <c r="B390" i="1" a="1"/>
  <c r="B390" i="1" s="1"/>
  <c r="N389" i="1" a="1"/>
  <c r="N389" i="1" s="1"/>
  <c r="M389" i="1" a="1"/>
  <c r="M389" i="1" s="1"/>
  <c r="L389" i="1" a="1"/>
  <c r="L389" i="1" s="1"/>
  <c r="K389" i="1" a="1"/>
  <c r="K389" i="1" s="1"/>
  <c r="F389" i="1" a="1"/>
  <c r="F389" i="1" s="1"/>
  <c r="E389" i="1" a="1"/>
  <c r="E389" i="1" s="1"/>
  <c r="D389" i="1" a="1"/>
  <c r="D389" i="1" s="1"/>
  <c r="C389" i="1" a="1"/>
  <c r="C389" i="1" s="1"/>
  <c r="B389" i="1" a="1"/>
  <c r="B389" i="1" s="1"/>
  <c r="N388" i="1" a="1"/>
  <c r="N388" i="1" s="1"/>
  <c r="M388" i="1" a="1"/>
  <c r="M388" i="1" s="1"/>
  <c r="L388" i="1" a="1"/>
  <c r="L388" i="1" s="1"/>
  <c r="K388" i="1" a="1"/>
  <c r="K388" i="1" s="1"/>
  <c r="F388" i="1" a="1"/>
  <c r="F388" i="1" s="1"/>
  <c r="E388" i="1" a="1"/>
  <c r="E388" i="1" s="1"/>
  <c r="D388" i="1" a="1"/>
  <c r="D388" i="1" s="1"/>
  <c r="C388" i="1" a="1"/>
  <c r="C388" i="1" s="1"/>
  <c r="B388" i="1" a="1"/>
  <c r="B388" i="1" s="1"/>
  <c r="N387" i="1" a="1"/>
  <c r="N387" i="1" s="1"/>
  <c r="M387" i="1" a="1"/>
  <c r="M387" i="1" s="1"/>
  <c r="L387" i="1" a="1"/>
  <c r="L387" i="1" s="1"/>
  <c r="K387" i="1" a="1"/>
  <c r="K387" i="1" s="1"/>
  <c r="F387" i="1" a="1"/>
  <c r="F387" i="1" s="1"/>
  <c r="E387" i="1" a="1"/>
  <c r="E387" i="1" s="1"/>
  <c r="D387" i="1" a="1"/>
  <c r="D387" i="1" s="1"/>
  <c r="C387" i="1" a="1"/>
  <c r="C387" i="1" s="1"/>
  <c r="B387" i="1" a="1"/>
  <c r="B387" i="1" s="1"/>
  <c r="N386" i="1" a="1"/>
  <c r="N386" i="1" s="1"/>
  <c r="M386" i="1" a="1"/>
  <c r="M386" i="1" s="1"/>
  <c r="L386" i="1" a="1"/>
  <c r="L386" i="1" s="1"/>
  <c r="K386" i="1" a="1"/>
  <c r="K386" i="1" s="1"/>
  <c r="F386" i="1" a="1"/>
  <c r="F386" i="1" s="1"/>
  <c r="E386" i="1" a="1"/>
  <c r="E386" i="1" s="1"/>
  <c r="D386" i="1" a="1"/>
  <c r="D386" i="1" s="1"/>
  <c r="C386" i="1" a="1"/>
  <c r="C386" i="1" s="1"/>
  <c r="B386" i="1" a="1"/>
  <c r="B386" i="1" s="1"/>
  <c r="N385" i="1" a="1"/>
  <c r="N385" i="1" s="1"/>
  <c r="M385" i="1" a="1"/>
  <c r="M385" i="1" s="1"/>
  <c r="L385" i="1" a="1"/>
  <c r="L385" i="1" s="1"/>
  <c r="K385" i="1" a="1"/>
  <c r="K385" i="1" s="1"/>
  <c r="F385" i="1" a="1"/>
  <c r="F385" i="1" s="1"/>
  <c r="E385" i="1" a="1"/>
  <c r="E385" i="1" s="1"/>
  <c r="D385" i="1" a="1"/>
  <c r="D385" i="1"/>
  <c r="C385" i="1" a="1"/>
  <c r="C385" i="1" s="1"/>
  <c r="B385" i="1" a="1"/>
  <c r="B385" i="1" s="1"/>
  <c r="N384" i="1" a="1"/>
  <c r="N384" i="1" s="1"/>
  <c r="M384" i="1" a="1"/>
  <c r="M384" i="1" s="1"/>
  <c r="L384" i="1" a="1"/>
  <c r="L384" i="1" s="1"/>
  <c r="K384" i="1" a="1"/>
  <c r="K384" i="1" s="1"/>
  <c r="F384" i="1" a="1"/>
  <c r="F384" i="1" s="1"/>
  <c r="E384" i="1" a="1"/>
  <c r="E384" i="1" s="1"/>
  <c r="D384" i="1" a="1"/>
  <c r="D384" i="1" s="1"/>
  <c r="C384" i="1" a="1"/>
  <c r="C384" i="1" s="1"/>
  <c r="B384" i="1" a="1"/>
  <c r="B384" i="1" s="1"/>
  <c r="N383" i="1" a="1"/>
  <c r="N383" i="1" s="1"/>
  <c r="M383" i="1" a="1"/>
  <c r="M383" i="1" s="1"/>
  <c r="L383" i="1" a="1"/>
  <c r="L383" i="1" s="1"/>
  <c r="K383" i="1" a="1"/>
  <c r="K383" i="1" s="1"/>
  <c r="F383" i="1" a="1"/>
  <c r="F383" i="1" s="1"/>
  <c r="E383" i="1" a="1"/>
  <c r="E383" i="1" s="1"/>
  <c r="D383" i="1" a="1"/>
  <c r="D383" i="1" s="1"/>
  <c r="C383" i="1" a="1"/>
  <c r="C383" i="1" s="1"/>
  <c r="B383" i="1" a="1"/>
  <c r="B383" i="1" s="1"/>
  <c r="N382" i="1" a="1"/>
  <c r="N382" i="1" s="1"/>
  <c r="M382" i="1" a="1"/>
  <c r="M382" i="1" s="1"/>
  <c r="L382" i="1" a="1"/>
  <c r="L382" i="1" s="1"/>
  <c r="K382" i="1" a="1"/>
  <c r="K382" i="1" s="1"/>
  <c r="F382" i="1" a="1"/>
  <c r="F382" i="1" s="1"/>
  <c r="E382" i="1" a="1"/>
  <c r="E382" i="1" s="1"/>
  <c r="D382" i="1" a="1"/>
  <c r="D382" i="1" s="1"/>
  <c r="C382" i="1" a="1"/>
  <c r="C382" i="1" s="1"/>
  <c r="B382" i="1" a="1"/>
  <c r="B382" i="1" s="1"/>
  <c r="N381" i="1" a="1"/>
  <c r="N381" i="1" s="1"/>
  <c r="M381" i="1" a="1"/>
  <c r="M381" i="1" s="1"/>
  <c r="L381" i="1" a="1"/>
  <c r="L381" i="1" s="1"/>
  <c r="K381" i="1" a="1"/>
  <c r="K381" i="1" s="1"/>
  <c r="F381" i="1" a="1"/>
  <c r="F381" i="1" s="1"/>
  <c r="E381" i="1" a="1"/>
  <c r="E381" i="1" s="1"/>
  <c r="D381" i="1" a="1"/>
  <c r="D381" i="1" s="1"/>
  <c r="C381" i="1" a="1"/>
  <c r="C381" i="1" s="1"/>
  <c r="B381" i="1" a="1"/>
  <c r="B381" i="1" s="1"/>
  <c r="N380" i="1" a="1"/>
  <c r="N380" i="1" s="1"/>
  <c r="M380" i="1" a="1"/>
  <c r="M380" i="1" s="1"/>
  <c r="L380" i="1" a="1"/>
  <c r="L380" i="1" s="1"/>
  <c r="K380" i="1" a="1"/>
  <c r="K380" i="1" s="1"/>
  <c r="F380" i="1" a="1"/>
  <c r="F380" i="1" s="1"/>
  <c r="E380" i="1" a="1"/>
  <c r="E380" i="1" s="1"/>
  <c r="D380" i="1" a="1"/>
  <c r="D380" i="1" s="1"/>
  <c r="C380" i="1" a="1"/>
  <c r="C380" i="1" s="1"/>
  <c r="B380" i="1" a="1"/>
  <c r="B380" i="1" s="1"/>
  <c r="N379" i="1" a="1"/>
  <c r="N379" i="1" s="1"/>
  <c r="M379" i="1" a="1"/>
  <c r="M379" i="1" s="1"/>
  <c r="L379" i="1" a="1"/>
  <c r="L379" i="1" s="1"/>
  <c r="K379" i="1" a="1"/>
  <c r="K379" i="1" s="1"/>
  <c r="F379" i="1" a="1"/>
  <c r="F379" i="1" s="1"/>
  <c r="E379" i="1" a="1"/>
  <c r="E379" i="1" s="1"/>
  <c r="D379" i="1" a="1"/>
  <c r="D379" i="1" s="1"/>
  <c r="C379" i="1" a="1"/>
  <c r="C379" i="1" s="1"/>
  <c r="B379" i="1" a="1"/>
  <c r="B379" i="1"/>
  <c r="N378" i="1" a="1"/>
  <c r="N378" i="1" s="1"/>
  <c r="M378" i="1" a="1"/>
  <c r="M378" i="1" s="1"/>
  <c r="L378" i="1" a="1"/>
  <c r="L378" i="1" s="1"/>
  <c r="K378" i="1" a="1"/>
  <c r="K378" i="1" s="1"/>
  <c r="F378" i="1" a="1"/>
  <c r="F378" i="1" s="1"/>
  <c r="E378" i="1" a="1"/>
  <c r="E378" i="1" s="1"/>
  <c r="D378" i="1" a="1"/>
  <c r="D378" i="1" s="1"/>
  <c r="C378" i="1" a="1"/>
  <c r="C378" i="1" s="1"/>
  <c r="B378" i="1" a="1"/>
  <c r="B378" i="1" s="1"/>
  <c r="N377" i="1" a="1"/>
  <c r="N377" i="1" s="1"/>
  <c r="M377" i="1" a="1"/>
  <c r="M377" i="1" s="1"/>
  <c r="L377" i="1" a="1"/>
  <c r="L377" i="1" s="1"/>
  <c r="K377" i="1" a="1"/>
  <c r="K377" i="1" s="1"/>
  <c r="F377" i="1" a="1"/>
  <c r="F377" i="1" s="1"/>
  <c r="E377" i="1" a="1"/>
  <c r="E377" i="1" s="1"/>
  <c r="D377" i="1" a="1"/>
  <c r="D377" i="1" s="1"/>
  <c r="C377" i="1" a="1"/>
  <c r="C377" i="1" s="1"/>
  <c r="B377" i="1" a="1"/>
  <c r="B377" i="1" s="1"/>
  <c r="N376" i="1" a="1"/>
  <c r="N376" i="1" s="1"/>
  <c r="M376" i="1" a="1"/>
  <c r="M376" i="1" s="1"/>
  <c r="L376" i="1" a="1"/>
  <c r="L376" i="1" s="1"/>
  <c r="K376" i="1" a="1"/>
  <c r="K376" i="1" s="1"/>
  <c r="F376" i="1" a="1"/>
  <c r="F376" i="1" s="1"/>
  <c r="E376" i="1" a="1"/>
  <c r="E376" i="1" s="1"/>
  <c r="D376" i="1" a="1"/>
  <c r="D376" i="1" s="1"/>
  <c r="C376" i="1" a="1"/>
  <c r="C376" i="1" s="1"/>
  <c r="B376" i="1" a="1"/>
  <c r="B376" i="1" s="1"/>
  <c r="N375" i="1" a="1"/>
  <c r="N375" i="1" s="1"/>
  <c r="M375" i="1" a="1"/>
  <c r="M375" i="1" s="1"/>
  <c r="L375" i="1" a="1"/>
  <c r="L375" i="1" s="1"/>
  <c r="K375" i="1" a="1"/>
  <c r="K375" i="1" s="1"/>
  <c r="F375" i="1" a="1"/>
  <c r="F375" i="1" s="1"/>
  <c r="E375" i="1" a="1"/>
  <c r="E375" i="1" s="1"/>
  <c r="D375" i="1" a="1"/>
  <c r="D375" i="1" s="1"/>
  <c r="C375" i="1" a="1"/>
  <c r="C375" i="1" s="1"/>
  <c r="B375" i="1" a="1"/>
  <c r="B375" i="1"/>
  <c r="N374" i="1" a="1"/>
  <c r="N374" i="1" s="1"/>
  <c r="M374" i="1" a="1"/>
  <c r="M374" i="1" s="1"/>
  <c r="L374" i="1" a="1"/>
  <c r="L374" i="1" s="1"/>
  <c r="K374" i="1" a="1"/>
  <c r="K374" i="1" s="1"/>
  <c r="F374" i="1" a="1"/>
  <c r="F374" i="1" s="1"/>
  <c r="E374" i="1" a="1"/>
  <c r="E374" i="1" s="1"/>
  <c r="D374" i="1" a="1"/>
  <c r="D374" i="1" s="1"/>
  <c r="C374" i="1" a="1"/>
  <c r="C374" i="1" s="1"/>
  <c r="B374" i="1" a="1"/>
  <c r="B374" i="1" s="1"/>
  <c r="N373" i="1" a="1"/>
  <c r="N373" i="1" s="1"/>
  <c r="M373" i="1" a="1"/>
  <c r="M373" i="1" s="1"/>
  <c r="L373" i="1" a="1"/>
  <c r="L373" i="1" s="1"/>
  <c r="K373" i="1" a="1"/>
  <c r="K373" i="1" s="1"/>
  <c r="F373" i="1" a="1"/>
  <c r="F373" i="1" s="1"/>
  <c r="E373" i="1" a="1"/>
  <c r="E373" i="1" s="1"/>
  <c r="D373" i="1" a="1"/>
  <c r="D373" i="1" s="1"/>
  <c r="C373" i="1" a="1"/>
  <c r="C373" i="1" s="1"/>
  <c r="B373" i="1" a="1"/>
  <c r="B373" i="1" s="1"/>
  <c r="N372" i="1" a="1"/>
  <c r="N372" i="1" s="1"/>
  <c r="M372" i="1" a="1"/>
  <c r="M372" i="1" s="1"/>
  <c r="L372" i="1" a="1"/>
  <c r="L372" i="1" s="1"/>
  <c r="K372" i="1" a="1"/>
  <c r="K372" i="1" s="1"/>
  <c r="F372" i="1" a="1"/>
  <c r="F372" i="1" s="1"/>
  <c r="E372" i="1" a="1"/>
  <c r="E372" i="1" s="1"/>
  <c r="D372" i="1" a="1"/>
  <c r="D372" i="1" s="1"/>
  <c r="C372" i="1" a="1"/>
  <c r="C372" i="1" s="1"/>
  <c r="B372" i="1" a="1"/>
  <c r="B372" i="1" s="1"/>
  <c r="N371" i="1" a="1"/>
  <c r="N371" i="1" s="1"/>
  <c r="M371" i="1" a="1"/>
  <c r="M371" i="1" s="1"/>
  <c r="L371" i="1" a="1"/>
  <c r="L371" i="1" s="1"/>
  <c r="K371" i="1" a="1"/>
  <c r="K371" i="1" s="1"/>
  <c r="F371" i="1" a="1"/>
  <c r="F371" i="1" s="1"/>
  <c r="E371" i="1" a="1"/>
  <c r="E371" i="1" s="1"/>
  <c r="D371" i="1" a="1"/>
  <c r="D371" i="1" s="1"/>
  <c r="C371" i="1" a="1"/>
  <c r="C371" i="1" s="1"/>
  <c r="B371" i="1" a="1"/>
  <c r="B371" i="1" s="1"/>
  <c r="N370" i="1" a="1"/>
  <c r="N370" i="1" s="1"/>
  <c r="M370" i="1" a="1"/>
  <c r="M370" i="1" s="1"/>
  <c r="L370" i="1" a="1"/>
  <c r="L370" i="1" s="1"/>
  <c r="K370" i="1" a="1"/>
  <c r="K370" i="1" s="1"/>
  <c r="F370" i="1" a="1"/>
  <c r="F370" i="1" s="1"/>
  <c r="E370" i="1" a="1"/>
  <c r="E370" i="1" s="1"/>
  <c r="D370" i="1" a="1"/>
  <c r="D370" i="1" s="1"/>
  <c r="C370" i="1" a="1"/>
  <c r="C370" i="1" s="1"/>
  <c r="B370" i="1" a="1"/>
  <c r="B370" i="1" s="1"/>
  <c r="N369" i="1" a="1"/>
  <c r="N369" i="1" s="1"/>
  <c r="M369" i="1" a="1"/>
  <c r="M369" i="1" s="1"/>
  <c r="L369" i="1" a="1"/>
  <c r="L369" i="1" s="1"/>
  <c r="K369" i="1" a="1"/>
  <c r="K369" i="1" s="1"/>
  <c r="F369" i="1" a="1"/>
  <c r="F369" i="1" s="1"/>
  <c r="E369" i="1" a="1"/>
  <c r="E369" i="1" s="1"/>
  <c r="D369" i="1" a="1"/>
  <c r="D369" i="1" s="1"/>
  <c r="C369" i="1" a="1"/>
  <c r="C369" i="1" s="1"/>
  <c r="B369" i="1" a="1"/>
  <c r="B369" i="1" s="1"/>
  <c r="N368" i="1" a="1"/>
  <c r="N368" i="1" s="1"/>
  <c r="M368" i="1" a="1"/>
  <c r="M368" i="1" s="1"/>
  <c r="L368" i="1" a="1"/>
  <c r="L368" i="1" s="1"/>
  <c r="K368" i="1" a="1"/>
  <c r="K368" i="1" s="1"/>
  <c r="F368" i="1" a="1"/>
  <c r="F368" i="1" s="1"/>
  <c r="E368" i="1" a="1"/>
  <c r="E368" i="1" s="1"/>
  <c r="D368" i="1" a="1"/>
  <c r="D368" i="1" s="1"/>
  <c r="C368" i="1" a="1"/>
  <c r="C368" i="1" s="1"/>
  <c r="B368" i="1" a="1"/>
  <c r="B368" i="1" s="1"/>
  <c r="N367" i="1" a="1"/>
  <c r="N367" i="1" s="1"/>
  <c r="M367" i="1" a="1"/>
  <c r="M367" i="1" s="1"/>
  <c r="L367" i="1" a="1"/>
  <c r="L367" i="1"/>
  <c r="K367" i="1" a="1"/>
  <c r="K367" i="1" s="1"/>
  <c r="F367" i="1" a="1"/>
  <c r="F367" i="1" s="1"/>
  <c r="E367" i="1" a="1"/>
  <c r="E367" i="1" s="1"/>
  <c r="D367" i="1" a="1"/>
  <c r="D367" i="1" s="1"/>
  <c r="C367" i="1" a="1"/>
  <c r="C367" i="1" s="1"/>
  <c r="B367" i="1" a="1"/>
  <c r="B367" i="1" s="1"/>
  <c r="N366" i="1" a="1"/>
  <c r="N366" i="1" s="1"/>
  <c r="M366" i="1" a="1"/>
  <c r="M366" i="1" s="1"/>
  <c r="L366" i="1" a="1"/>
  <c r="L366" i="1" s="1"/>
  <c r="K366" i="1" a="1"/>
  <c r="K366" i="1" s="1"/>
  <c r="F366" i="1" a="1"/>
  <c r="F366" i="1" s="1"/>
  <c r="E366" i="1" a="1"/>
  <c r="E366" i="1" s="1"/>
  <c r="D366" i="1" a="1"/>
  <c r="D366" i="1" s="1"/>
  <c r="C366" i="1" a="1"/>
  <c r="C366" i="1" s="1"/>
  <c r="B366" i="1" a="1"/>
  <c r="B366" i="1" s="1"/>
  <c r="N365" i="1" a="1"/>
  <c r="N365" i="1" s="1"/>
  <c r="M365" i="1" a="1"/>
  <c r="M365" i="1" s="1"/>
  <c r="L365" i="1" a="1"/>
  <c r="L365" i="1" s="1"/>
  <c r="K365" i="1" a="1"/>
  <c r="K365" i="1" s="1"/>
  <c r="F365" i="1" a="1"/>
  <c r="F365" i="1"/>
  <c r="E365" i="1" a="1"/>
  <c r="E365" i="1" s="1"/>
  <c r="D365" i="1" a="1"/>
  <c r="D365" i="1" s="1"/>
  <c r="C365" i="1" a="1"/>
  <c r="C365" i="1" s="1"/>
  <c r="B365" i="1" a="1"/>
  <c r="B365" i="1" s="1"/>
  <c r="N364" i="1" a="1"/>
  <c r="N364" i="1" s="1"/>
  <c r="M364" i="1" a="1"/>
  <c r="M364" i="1" s="1"/>
  <c r="L364" i="1" a="1"/>
  <c r="L364" i="1" s="1"/>
  <c r="K364" i="1" a="1"/>
  <c r="K364" i="1" s="1"/>
  <c r="F364" i="1" a="1"/>
  <c r="F364" i="1" s="1"/>
  <c r="E364" i="1" a="1"/>
  <c r="E364" i="1" s="1"/>
  <c r="D364" i="1" a="1"/>
  <c r="D364" i="1" s="1"/>
  <c r="C364" i="1" a="1"/>
  <c r="C364" i="1" s="1"/>
  <c r="B364" i="1" a="1"/>
  <c r="B364" i="1" s="1"/>
  <c r="N363" i="1" a="1"/>
  <c r="N363" i="1" s="1"/>
  <c r="M363" i="1" a="1"/>
  <c r="M363" i="1" s="1"/>
  <c r="L363" i="1" a="1"/>
  <c r="L363" i="1" s="1"/>
  <c r="K363" i="1" a="1"/>
  <c r="K363" i="1" s="1"/>
  <c r="F363" i="1" a="1"/>
  <c r="F363" i="1" s="1"/>
  <c r="E363" i="1" a="1"/>
  <c r="E363" i="1" s="1"/>
  <c r="D363" i="1" a="1"/>
  <c r="D363" i="1" s="1"/>
  <c r="C363" i="1" a="1"/>
  <c r="C363" i="1" s="1"/>
  <c r="B363" i="1" a="1"/>
  <c r="B363" i="1" s="1"/>
  <c r="N362" i="1" a="1"/>
  <c r="N362" i="1" s="1"/>
  <c r="M362" i="1" a="1"/>
  <c r="M362" i="1" s="1"/>
  <c r="L362" i="1" a="1"/>
  <c r="L362" i="1" s="1"/>
  <c r="K362" i="1" a="1"/>
  <c r="K362" i="1" s="1"/>
  <c r="F362" i="1" a="1"/>
  <c r="F362" i="1" s="1"/>
  <c r="E362" i="1" a="1"/>
  <c r="E362" i="1" s="1"/>
  <c r="D362" i="1" a="1"/>
  <c r="D362" i="1" s="1"/>
  <c r="C362" i="1" a="1"/>
  <c r="C362" i="1" s="1"/>
  <c r="B362" i="1" a="1"/>
  <c r="B362" i="1" s="1"/>
  <c r="N361" i="1" a="1"/>
  <c r="N361" i="1" s="1"/>
  <c r="M361" i="1" a="1"/>
  <c r="M361" i="1" s="1"/>
  <c r="L361" i="1" a="1"/>
  <c r="L361" i="1" s="1"/>
  <c r="K361" i="1" a="1"/>
  <c r="K361" i="1" s="1"/>
  <c r="F361" i="1" a="1"/>
  <c r="F361" i="1" s="1"/>
  <c r="E361" i="1" a="1"/>
  <c r="E361" i="1" s="1"/>
  <c r="D361" i="1" a="1"/>
  <c r="D361" i="1" s="1"/>
  <c r="C361" i="1" a="1"/>
  <c r="C361" i="1" s="1"/>
  <c r="B361" i="1" a="1"/>
  <c r="B361" i="1" s="1"/>
  <c r="N360" i="1" a="1"/>
  <c r="N360" i="1" s="1"/>
  <c r="M360" i="1" a="1"/>
  <c r="M360" i="1" s="1"/>
  <c r="L360" i="1" a="1"/>
  <c r="L360" i="1" s="1"/>
  <c r="K360" i="1" a="1"/>
  <c r="K360" i="1" s="1"/>
  <c r="F360" i="1" a="1"/>
  <c r="F360" i="1" s="1"/>
  <c r="E360" i="1" a="1"/>
  <c r="E360" i="1" s="1"/>
  <c r="D360" i="1" a="1"/>
  <c r="D360" i="1" s="1"/>
  <c r="C360" i="1" a="1"/>
  <c r="C360" i="1" s="1"/>
  <c r="B360" i="1" a="1"/>
  <c r="B360" i="1" s="1"/>
  <c r="N359" i="1" a="1"/>
  <c r="N359" i="1" s="1"/>
  <c r="M359" i="1" a="1"/>
  <c r="M359" i="1" s="1"/>
  <c r="L359" i="1" a="1"/>
  <c r="L359" i="1" s="1"/>
  <c r="K359" i="1" a="1"/>
  <c r="K359" i="1" s="1"/>
  <c r="F359" i="1" a="1"/>
  <c r="F359" i="1" s="1"/>
  <c r="E359" i="1" a="1"/>
  <c r="E359" i="1" s="1"/>
  <c r="D359" i="1" a="1"/>
  <c r="D359" i="1" s="1"/>
  <c r="C359" i="1" a="1"/>
  <c r="C359" i="1" s="1"/>
  <c r="B359" i="1" a="1"/>
  <c r="B359" i="1" s="1"/>
  <c r="N358" i="1" a="1"/>
  <c r="N358" i="1" s="1"/>
  <c r="M358" i="1" a="1"/>
  <c r="M358" i="1" s="1"/>
  <c r="L358" i="1" a="1"/>
  <c r="L358" i="1" s="1"/>
  <c r="K358" i="1" a="1"/>
  <c r="K358" i="1" s="1"/>
  <c r="F358" i="1" a="1"/>
  <c r="F358" i="1" s="1"/>
  <c r="E358" i="1" a="1"/>
  <c r="E358" i="1" s="1"/>
  <c r="D358" i="1" a="1"/>
  <c r="D358" i="1" s="1"/>
  <c r="C358" i="1" a="1"/>
  <c r="C358" i="1" s="1"/>
  <c r="B358" i="1" a="1"/>
  <c r="B358" i="1" s="1"/>
  <c r="N357" i="1" a="1"/>
  <c r="N357" i="1" s="1"/>
  <c r="M357" i="1" a="1"/>
  <c r="M357" i="1" s="1"/>
  <c r="L357" i="1" a="1"/>
  <c r="L357" i="1" s="1"/>
  <c r="K357" i="1" a="1"/>
  <c r="K357" i="1" s="1"/>
  <c r="F357" i="1" a="1"/>
  <c r="F357" i="1" s="1"/>
  <c r="E357" i="1" a="1"/>
  <c r="E357" i="1" s="1"/>
  <c r="D357" i="1" a="1"/>
  <c r="D357" i="1" s="1"/>
  <c r="C357" i="1" a="1"/>
  <c r="C357" i="1" s="1"/>
  <c r="B357" i="1" a="1"/>
  <c r="B357" i="1" s="1"/>
  <c r="N356" i="1" a="1"/>
  <c r="N356" i="1" s="1"/>
  <c r="M356" i="1" a="1"/>
  <c r="M356" i="1" s="1"/>
  <c r="L356" i="1" a="1"/>
  <c r="L356" i="1" s="1"/>
  <c r="K356" i="1" a="1"/>
  <c r="K356" i="1" s="1"/>
  <c r="F356" i="1" a="1"/>
  <c r="F356" i="1" s="1"/>
  <c r="E356" i="1" a="1"/>
  <c r="E356" i="1" s="1"/>
  <c r="D356" i="1" a="1"/>
  <c r="D356" i="1" s="1"/>
  <c r="C356" i="1" a="1"/>
  <c r="C356" i="1" s="1"/>
  <c r="B356" i="1" a="1"/>
  <c r="B356" i="1" s="1"/>
  <c r="N355" i="1" a="1"/>
  <c r="N355" i="1" s="1"/>
  <c r="M355" i="1" a="1"/>
  <c r="M355" i="1" s="1"/>
  <c r="L355" i="1" a="1"/>
  <c r="L355" i="1" s="1"/>
  <c r="K355" i="1" a="1"/>
  <c r="K355" i="1" s="1"/>
  <c r="F355" i="1" a="1"/>
  <c r="F355" i="1" s="1"/>
  <c r="E355" i="1" a="1"/>
  <c r="E355" i="1" s="1"/>
  <c r="D355" i="1" a="1"/>
  <c r="D355" i="1" s="1"/>
  <c r="C355" i="1" a="1"/>
  <c r="C355" i="1" s="1"/>
  <c r="B355" i="1" a="1"/>
  <c r="B355" i="1" s="1"/>
  <c r="N354" i="1" a="1"/>
  <c r="N354" i="1" s="1"/>
  <c r="M354" i="1" a="1"/>
  <c r="M354" i="1" s="1"/>
  <c r="L354" i="1" a="1"/>
  <c r="L354" i="1" s="1"/>
  <c r="K354" i="1" a="1"/>
  <c r="K354" i="1" s="1"/>
  <c r="F354" i="1" a="1"/>
  <c r="F354" i="1" s="1"/>
  <c r="E354" i="1" a="1"/>
  <c r="E354" i="1" s="1"/>
  <c r="D354" i="1" a="1"/>
  <c r="D354" i="1" s="1"/>
  <c r="C354" i="1" a="1"/>
  <c r="C354" i="1" s="1"/>
  <c r="B354" i="1" a="1"/>
  <c r="B354" i="1" s="1"/>
  <c r="N353" i="1" a="1"/>
  <c r="N353" i="1" s="1"/>
  <c r="M353" i="1" a="1"/>
  <c r="M353" i="1" s="1"/>
  <c r="L353" i="1" a="1"/>
  <c r="L353" i="1" s="1"/>
  <c r="K353" i="1" a="1"/>
  <c r="K353" i="1" s="1"/>
  <c r="F353" i="1" a="1"/>
  <c r="F353" i="1" s="1"/>
  <c r="E353" i="1" a="1"/>
  <c r="E353" i="1" s="1"/>
  <c r="D353" i="1" a="1"/>
  <c r="D353" i="1" s="1"/>
  <c r="C353" i="1" a="1"/>
  <c r="C353" i="1" s="1"/>
  <c r="B353" i="1" a="1"/>
  <c r="B353" i="1" s="1"/>
  <c r="N352" i="1" a="1"/>
  <c r="N352" i="1" s="1"/>
  <c r="M352" i="1" a="1"/>
  <c r="M352" i="1" s="1"/>
  <c r="L352" i="1" a="1"/>
  <c r="L352" i="1" s="1"/>
  <c r="K352" i="1" a="1"/>
  <c r="K352" i="1" s="1"/>
  <c r="F352" i="1" a="1"/>
  <c r="F352" i="1" s="1"/>
  <c r="E352" i="1" a="1"/>
  <c r="E352" i="1" s="1"/>
  <c r="D352" i="1" a="1"/>
  <c r="D352" i="1" s="1"/>
  <c r="C352" i="1" a="1"/>
  <c r="C352" i="1" s="1"/>
  <c r="B352" i="1" a="1"/>
  <c r="B352" i="1" s="1"/>
  <c r="N351" i="1" a="1"/>
  <c r="N351" i="1" s="1"/>
  <c r="M351" i="1" a="1"/>
  <c r="M351" i="1" s="1"/>
  <c r="L351" i="1" a="1"/>
  <c r="L351" i="1" s="1"/>
  <c r="K351" i="1" a="1"/>
  <c r="K351" i="1" s="1"/>
  <c r="F351" i="1" a="1"/>
  <c r="F351" i="1" s="1"/>
  <c r="E351" i="1" a="1"/>
  <c r="E351" i="1" s="1"/>
  <c r="D351" i="1" a="1"/>
  <c r="D351" i="1" s="1"/>
  <c r="C351" i="1" a="1"/>
  <c r="C351" i="1" s="1"/>
  <c r="B351" i="1" a="1"/>
  <c r="B351" i="1" s="1"/>
  <c r="N350" i="1" a="1"/>
  <c r="N350" i="1" s="1"/>
  <c r="M350" i="1" a="1"/>
  <c r="M350" i="1" s="1"/>
  <c r="L350" i="1" a="1"/>
  <c r="L350" i="1" s="1"/>
  <c r="K350" i="1" a="1"/>
  <c r="K350" i="1" s="1"/>
  <c r="F350" i="1" a="1"/>
  <c r="F350" i="1" s="1"/>
  <c r="E350" i="1" a="1"/>
  <c r="E350" i="1" s="1"/>
  <c r="D350" i="1" a="1"/>
  <c r="D350" i="1" s="1"/>
  <c r="C350" i="1" a="1"/>
  <c r="C350" i="1" s="1"/>
  <c r="B350" i="1" a="1"/>
  <c r="B350" i="1" s="1"/>
  <c r="N349" i="1" a="1"/>
  <c r="N349" i="1" s="1"/>
  <c r="M349" i="1" a="1"/>
  <c r="M349" i="1" s="1"/>
  <c r="L349" i="1" a="1"/>
  <c r="L349" i="1" s="1"/>
  <c r="K349" i="1" a="1"/>
  <c r="K349" i="1" s="1"/>
  <c r="F349" i="1" a="1"/>
  <c r="F349" i="1" s="1"/>
  <c r="E349" i="1" a="1"/>
  <c r="E349" i="1" s="1"/>
  <c r="D349" i="1" a="1"/>
  <c r="D349" i="1" s="1"/>
  <c r="C349" i="1" a="1"/>
  <c r="C349" i="1" s="1"/>
  <c r="B349" i="1" a="1"/>
  <c r="B349" i="1" s="1"/>
  <c r="N348" i="1" a="1"/>
  <c r="N348" i="1" s="1"/>
  <c r="M348" i="1" a="1"/>
  <c r="M348" i="1" s="1"/>
  <c r="L348" i="1" a="1"/>
  <c r="L348" i="1" s="1"/>
  <c r="K348" i="1" a="1"/>
  <c r="K348" i="1" s="1"/>
  <c r="F348" i="1" a="1"/>
  <c r="F348" i="1" s="1"/>
  <c r="E348" i="1" a="1"/>
  <c r="E348" i="1" s="1"/>
  <c r="D348" i="1" a="1"/>
  <c r="D348" i="1" s="1"/>
  <c r="C348" i="1" a="1"/>
  <c r="C348" i="1" s="1"/>
  <c r="B348" i="1" a="1"/>
  <c r="B348" i="1" s="1"/>
  <c r="N347" i="1" a="1"/>
  <c r="N347" i="1" s="1"/>
  <c r="M347" i="1" a="1"/>
  <c r="M347" i="1" s="1"/>
  <c r="L347" i="1" a="1"/>
  <c r="L347" i="1" s="1"/>
  <c r="K347" i="1" a="1"/>
  <c r="K347" i="1" s="1"/>
  <c r="F347" i="1" a="1"/>
  <c r="F347" i="1" s="1"/>
  <c r="E347" i="1" a="1"/>
  <c r="E347" i="1" s="1"/>
  <c r="D347" i="1" a="1"/>
  <c r="D347" i="1" s="1"/>
  <c r="C347" i="1" a="1"/>
  <c r="C347" i="1" s="1"/>
  <c r="B347" i="1" a="1"/>
  <c r="B347" i="1" s="1"/>
  <c r="N346" i="1" a="1"/>
  <c r="N346" i="1" s="1"/>
  <c r="M346" i="1" a="1"/>
  <c r="M346" i="1" s="1"/>
  <c r="L346" i="1" a="1"/>
  <c r="L346" i="1" s="1"/>
  <c r="K346" i="1" a="1"/>
  <c r="K346" i="1" s="1"/>
  <c r="F346" i="1" a="1"/>
  <c r="F346" i="1" s="1"/>
  <c r="E346" i="1" a="1"/>
  <c r="E346" i="1" s="1"/>
  <c r="D346" i="1" a="1"/>
  <c r="D346" i="1" s="1"/>
  <c r="C346" i="1" a="1"/>
  <c r="C346" i="1" s="1"/>
  <c r="B346" i="1" a="1"/>
  <c r="B346" i="1" s="1"/>
  <c r="N345" i="1" a="1"/>
  <c r="N345" i="1" s="1"/>
  <c r="M345" i="1" a="1"/>
  <c r="M345" i="1" s="1"/>
  <c r="L345" i="1" a="1"/>
  <c r="L345" i="1" s="1"/>
  <c r="K345" i="1" a="1"/>
  <c r="K345" i="1" s="1"/>
  <c r="F345" i="1" a="1"/>
  <c r="F345" i="1" s="1"/>
  <c r="E345" i="1" a="1"/>
  <c r="E345" i="1" s="1"/>
  <c r="D345" i="1" a="1"/>
  <c r="D345" i="1" s="1"/>
  <c r="C345" i="1" a="1"/>
  <c r="C345" i="1" s="1"/>
  <c r="B345" i="1" a="1"/>
  <c r="B345" i="1" s="1"/>
  <c r="N344" i="1" a="1"/>
  <c r="N344" i="1" s="1"/>
  <c r="M344" i="1" a="1"/>
  <c r="M344" i="1" s="1"/>
  <c r="L344" i="1" a="1"/>
  <c r="L344" i="1" s="1"/>
  <c r="K344" i="1" a="1"/>
  <c r="K344" i="1" s="1"/>
  <c r="F344" i="1" a="1"/>
  <c r="F344" i="1" s="1"/>
  <c r="E344" i="1" a="1"/>
  <c r="E344" i="1" s="1"/>
  <c r="D344" i="1" a="1"/>
  <c r="D344" i="1" s="1"/>
  <c r="C344" i="1" a="1"/>
  <c r="C344" i="1" s="1"/>
  <c r="B344" i="1" a="1"/>
  <c r="B344" i="1" s="1"/>
  <c r="N343" i="1" a="1"/>
  <c r="N343" i="1" s="1"/>
  <c r="M343" i="1" a="1"/>
  <c r="M343" i="1" s="1"/>
  <c r="L343" i="1" a="1"/>
  <c r="L343" i="1" s="1"/>
  <c r="K343" i="1" a="1"/>
  <c r="K343" i="1" s="1"/>
  <c r="F343" i="1" a="1"/>
  <c r="F343" i="1" s="1"/>
  <c r="E343" i="1" a="1"/>
  <c r="E343" i="1" s="1"/>
  <c r="D343" i="1" a="1"/>
  <c r="D343" i="1" s="1"/>
  <c r="C343" i="1" a="1"/>
  <c r="C343" i="1" s="1"/>
  <c r="B343" i="1" a="1"/>
  <c r="B343" i="1" s="1"/>
  <c r="N342" i="1" a="1"/>
  <c r="N342" i="1" s="1"/>
  <c r="M342" i="1" a="1"/>
  <c r="M342" i="1" s="1"/>
  <c r="L342" i="1" a="1"/>
  <c r="L342" i="1" s="1"/>
  <c r="K342" i="1" a="1"/>
  <c r="K342" i="1" s="1"/>
  <c r="F342" i="1" a="1"/>
  <c r="F342" i="1" s="1"/>
  <c r="E342" i="1" a="1"/>
  <c r="E342" i="1" s="1"/>
  <c r="D342" i="1" a="1"/>
  <c r="D342" i="1" s="1"/>
  <c r="C342" i="1" a="1"/>
  <c r="C342" i="1" s="1"/>
  <c r="B342" i="1" a="1"/>
  <c r="B342" i="1" s="1"/>
  <c r="N341" i="1" a="1"/>
  <c r="N341" i="1" s="1"/>
  <c r="M341" i="1" a="1"/>
  <c r="M341" i="1" s="1"/>
  <c r="L341" i="1" a="1"/>
  <c r="L341" i="1" s="1"/>
  <c r="K341" i="1" a="1"/>
  <c r="K341" i="1" s="1"/>
  <c r="F341" i="1" a="1"/>
  <c r="F341" i="1" s="1"/>
  <c r="E341" i="1" a="1"/>
  <c r="E341" i="1" s="1"/>
  <c r="D341" i="1" a="1"/>
  <c r="D341" i="1" s="1"/>
  <c r="C341" i="1" a="1"/>
  <c r="C341" i="1" s="1"/>
  <c r="B341" i="1" a="1"/>
  <c r="B341" i="1" s="1"/>
  <c r="N340" i="1" a="1"/>
  <c r="N340" i="1" s="1"/>
  <c r="M340" i="1" a="1"/>
  <c r="M340" i="1" s="1"/>
  <c r="L340" i="1" a="1"/>
  <c r="L340" i="1" s="1"/>
  <c r="K340" i="1" a="1"/>
  <c r="K340" i="1" s="1"/>
  <c r="F340" i="1" a="1"/>
  <c r="F340" i="1" s="1"/>
  <c r="E340" i="1" a="1"/>
  <c r="E340" i="1" s="1"/>
  <c r="D340" i="1" a="1"/>
  <c r="D340" i="1" s="1"/>
  <c r="C340" i="1" a="1"/>
  <c r="C340" i="1" s="1"/>
  <c r="B340" i="1" a="1"/>
  <c r="B340" i="1" s="1"/>
  <c r="N339" i="1" a="1"/>
  <c r="N339" i="1" s="1"/>
  <c r="M339" i="1" a="1"/>
  <c r="M339" i="1" s="1"/>
  <c r="L339" i="1" a="1"/>
  <c r="L339" i="1" s="1"/>
  <c r="K339" i="1" a="1"/>
  <c r="K339" i="1" s="1"/>
  <c r="F339" i="1" a="1"/>
  <c r="F339" i="1" s="1"/>
  <c r="E339" i="1" a="1"/>
  <c r="E339" i="1" s="1"/>
  <c r="D339" i="1" a="1"/>
  <c r="D339" i="1" s="1"/>
  <c r="C339" i="1" a="1"/>
  <c r="C339" i="1" s="1"/>
  <c r="B339" i="1" a="1"/>
  <c r="B339" i="1" s="1"/>
  <c r="N338" i="1" a="1"/>
  <c r="N338" i="1" s="1"/>
  <c r="M338" i="1" a="1"/>
  <c r="M338" i="1" s="1"/>
  <c r="L338" i="1" a="1"/>
  <c r="L338" i="1" s="1"/>
  <c r="K338" i="1" a="1"/>
  <c r="K338" i="1" s="1"/>
  <c r="F338" i="1" a="1"/>
  <c r="F338" i="1" s="1"/>
  <c r="E338" i="1" a="1"/>
  <c r="E338" i="1" s="1"/>
  <c r="D338" i="1" a="1"/>
  <c r="D338" i="1" s="1"/>
  <c r="C338" i="1" a="1"/>
  <c r="C338" i="1" s="1"/>
  <c r="B338" i="1" a="1"/>
  <c r="B338" i="1" s="1"/>
  <c r="N337" i="1" a="1"/>
  <c r="N337" i="1" s="1"/>
  <c r="M337" i="1" a="1"/>
  <c r="M337" i="1" s="1"/>
  <c r="L337" i="1" a="1"/>
  <c r="L337" i="1" s="1"/>
  <c r="K337" i="1" a="1"/>
  <c r="K337" i="1" s="1"/>
  <c r="F337" i="1" a="1"/>
  <c r="F337" i="1" s="1"/>
  <c r="E337" i="1" a="1"/>
  <c r="E337" i="1" s="1"/>
  <c r="D337" i="1" a="1"/>
  <c r="D337" i="1" s="1"/>
  <c r="C337" i="1" a="1"/>
  <c r="C337" i="1" s="1"/>
  <c r="B337" i="1" a="1"/>
  <c r="B337" i="1" s="1"/>
  <c r="N336" i="1" a="1"/>
  <c r="N336" i="1" s="1"/>
  <c r="M336" i="1" a="1"/>
  <c r="M336" i="1" s="1"/>
  <c r="L336" i="1" a="1"/>
  <c r="L336" i="1" s="1"/>
  <c r="K336" i="1" a="1"/>
  <c r="K336" i="1" s="1"/>
  <c r="F336" i="1" a="1"/>
  <c r="F336" i="1" s="1"/>
  <c r="E336" i="1" a="1"/>
  <c r="E336" i="1" s="1"/>
  <c r="D336" i="1" a="1"/>
  <c r="D336" i="1" s="1"/>
  <c r="C336" i="1" a="1"/>
  <c r="C336" i="1" s="1"/>
  <c r="B336" i="1" a="1"/>
  <c r="B336" i="1" s="1"/>
  <c r="N335" i="1" a="1"/>
  <c r="N335" i="1" s="1"/>
  <c r="M335" i="1" a="1"/>
  <c r="M335" i="1" s="1"/>
  <c r="L335" i="1" a="1"/>
  <c r="L335" i="1" s="1"/>
  <c r="K335" i="1" a="1"/>
  <c r="K335" i="1" s="1"/>
  <c r="F335" i="1" a="1"/>
  <c r="F335" i="1" s="1"/>
  <c r="E335" i="1" a="1"/>
  <c r="E335" i="1" s="1"/>
  <c r="D335" i="1" a="1"/>
  <c r="D335" i="1" s="1"/>
  <c r="C335" i="1" a="1"/>
  <c r="C335" i="1" s="1"/>
  <c r="B335" i="1" a="1"/>
  <c r="B335" i="1" s="1"/>
  <c r="N334" i="1" a="1"/>
  <c r="N334" i="1" s="1"/>
  <c r="M334" i="1" a="1"/>
  <c r="M334" i="1" s="1"/>
  <c r="L334" i="1" a="1"/>
  <c r="L334" i="1" s="1"/>
  <c r="K334" i="1" a="1"/>
  <c r="K334" i="1" s="1"/>
  <c r="F334" i="1" a="1"/>
  <c r="F334" i="1" s="1"/>
  <c r="E334" i="1" a="1"/>
  <c r="E334" i="1" s="1"/>
  <c r="D334" i="1" a="1"/>
  <c r="D334" i="1" s="1"/>
  <c r="C334" i="1" a="1"/>
  <c r="C334" i="1" s="1"/>
  <c r="B334" i="1" a="1"/>
  <c r="B334" i="1" s="1"/>
  <c r="N333" i="1" a="1"/>
  <c r="N333" i="1" s="1"/>
  <c r="M333" i="1" a="1"/>
  <c r="M333" i="1" s="1"/>
  <c r="L333" i="1" a="1"/>
  <c r="L333" i="1" s="1"/>
  <c r="K333" i="1" a="1"/>
  <c r="K333" i="1" s="1"/>
  <c r="F333" i="1" a="1"/>
  <c r="F333" i="1" s="1"/>
  <c r="E333" i="1" a="1"/>
  <c r="E333" i="1" s="1"/>
  <c r="D333" i="1" a="1"/>
  <c r="D333" i="1" s="1"/>
  <c r="C333" i="1" a="1"/>
  <c r="C333" i="1" s="1"/>
  <c r="B333" i="1" a="1"/>
  <c r="B333" i="1" s="1"/>
  <c r="N332" i="1" a="1"/>
  <c r="N332" i="1" s="1"/>
  <c r="M332" i="1" a="1"/>
  <c r="M332" i="1" s="1"/>
  <c r="L332" i="1" a="1"/>
  <c r="L332" i="1" s="1"/>
  <c r="K332" i="1" a="1"/>
  <c r="K332" i="1" s="1"/>
  <c r="F332" i="1" a="1"/>
  <c r="F332" i="1" s="1"/>
  <c r="E332" i="1" a="1"/>
  <c r="E332" i="1" s="1"/>
  <c r="D332" i="1" a="1"/>
  <c r="D332" i="1" s="1"/>
  <c r="C332" i="1" a="1"/>
  <c r="C332" i="1" s="1"/>
  <c r="B332" i="1" a="1"/>
  <c r="B332" i="1" s="1"/>
  <c r="N331" i="1" a="1"/>
  <c r="N331" i="1" s="1"/>
  <c r="M331" i="1" a="1"/>
  <c r="M331" i="1" s="1"/>
  <c r="L331" i="1" a="1"/>
  <c r="L331" i="1" s="1"/>
  <c r="K331" i="1" a="1"/>
  <c r="K331" i="1" s="1"/>
  <c r="F331" i="1" a="1"/>
  <c r="F331" i="1" s="1"/>
  <c r="E331" i="1" a="1"/>
  <c r="E331" i="1" s="1"/>
  <c r="D331" i="1" a="1"/>
  <c r="D331" i="1" s="1"/>
  <c r="C331" i="1" a="1"/>
  <c r="C331" i="1" s="1"/>
  <c r="B331" i="1" a="1"/>
  <c r="B331" i="1" s="1"/>
  <c r="N330" i="1" a="1"/>
  <c r="N330" i="1" s="1"/>
  <c r="M330" i="1" a="1"/>
  <c r="M330" i="1" s="1"/>
  <c r="L330" i="1" a="1"/>
  <c r="L330" i="1" s="1"/>
  <c r="K330" i="1" a="1"/>
  <c r="K330" i="1" s="1"/>
  <c r="F330" i="1" a="1"/>
  <c r="F330" i="1" s="1"/>
  <c r="E330" i="1" a="1"/>
  <c r="E330" i="1" s="1"/>
  <c r="D330" i="1" a="1"/>
  <c r="D330" i="1" s="1"/>
  <c r="C330" i="1" a="1"/>
  <c r="C330" i="1" s="1"/>
  <c r="B330" i="1" a="1"/>
  <c r="B330" i="1" s="1"/>
  <c r="N329" i="1" a="1"/>
  <c r="N329" i="1" s="1"/>
  <c r="M329" i="1" a="1"/>
  <c r="M329" i="1" s="1"/>
  <c r="L329" i="1" a="1"/>
  <c r="L329" i="1" s="1"/>
  <c r="K329" i="1" a="1"/>
  <c r="K329" i="1" s="1"/>
  <c r="F329" i="1" a="1"/>
  <c r="F329" i="1" s="1"/>
  <c r="E329" i="1" a="1"/>
  <c r="E329" i="1" s="1"/>
  <c r="D329" i="1" a="1"/>
  <c r="D329" i="1" s="1"/>
  <c r="C329" i="1" a="1"/>
  <c r="C329" i="1" s="1"/>
  <c r="B329" i="1" a="1"/>
  <c r="B329" i="1" s="1"/>
  <c r="N328" i="1" a="1"/>
  <c r="N328" i="1" s="1"/>
  <c r="M328" i="1" a="1"/>
  <c r="M328" i="1" s="1"/>
  <c r="L328" i="1" a="1"/>
  <c r="L328" i="1" s="1"/>
  <c r="K328" i="1" a="1"/>
  <c r="K328" i="1" s="1"/>
  <c r="F328" i="1" a="1"/>
  <c r="F328" i="1" s="1"/>
  <c r="E328" i="1" a="1"/>
  <c r="E328" i="1" s="1"/>
  <c r="D328" i="1" a="1"/>
  <c r="D328" i="1" s="1"/>
  <c r="C328" i="1" a="1"/>
  <c r="C328" i="1" s="1"/>
  <c r="B328" i="1" a="1"/>
  <c r="B328" i="1" s="1"/>
  <c r="N327" i="1" a="1"/>
  <c r="N327" i="1" s="1"/>
  <c r="M327" i="1" a="1"/>
  <c r="M327" i="1" s="1"/>
  <c r="L327" i="1" a="1"/>
  <c r="L327" i="1" s="1"/>
  <c r="K327" i="1" a="1"/>
  <c r="K327" i="1" s="1"/>
  <c r="F327" i="1" a="1"/>
  <c r="F327" i="1" s="1"/>
  <c r="E327" i="1" a="1"/>
  <c r="E327" i="1" s="1"/>
  <c r="D327" i="1" a="1"/>
  <c r="D327" i="1" s="1"/>
  <c r="C327" i="1" a="1"/>
  <c r="C327" i="1" s="1"/>
  <c r="B327" i="1" a="1"/>
  <c r="B327" i="1" s="1"/>
  <c r="N326" i="1" a="1"/>
  <c r="N326" i="1" s="1"/>
  <c r="M326" i="1" a="1"/>
  <c r="M326" i="1" s="1"/>
  <c r="L326" i="1" a="1"/>
  <c r="L326" i="1" s="1"/>
  <c r="K326" i="1" a="1"/>
  <c r="K326" i="1" s="1"/>
  <c r="F326" i="1" a="1"/>
  <c r="F326" i="1" s="1"/>
  <c r="E326" i="1" a="1"/>
  <c r="E326" i="1" s="1"/>
  <c r="D326" i="1" a="1"/>
  <c r="D326" i="1" s="1"/>
  <c r="C326" i="1" a="1"/>
  <c r="C326" i="1" s="1"/>
  <c r="B326" i="1" a="1"/>
  <c r="B326" i="1" s="1"/>
  <c r="N325" i="1" a="1"/>
  <c r="N325" i="1" s="1"/>
  <c r="M325" i="1" a="1"/>
  <c r="M325" i="1" s="1"/>
  <c r="L325" i="1" a="1"/>
  <c r="L325" i="1" s="1"/>
  <c r="K325" i="1" a="1"/>
  <c r="K325" i="1" s="1"/>
  <c r="F325" i="1" a="1"/>
  <c r="F325" i="1" s="1"/>
  <c r="E325" i="1" a="1"/>
  <c r="E325" i="1" s="1"/>
  <c r="D325" i="1" a="1"/>
  <c r="D325" i="1" s="1"/>
  <c r="C325" i="1" a="1"/>
  <c r="C325" i="1" s="1"/>
  <c r="B325" i="1" a="1"/>
  <c r="B325" i="1" s="1"/>
  <c r="N324" i="1" a="1"/>
  <c r="N324" i="1" s="1"/>
  <c r="M324" i="1" a="1"/>
  <c r="M324" i="1" s="1"/>
  <c r="L324" i="1" a="1"/>
  <c r="L324" i="1" s="1"/>
  <c r="K324" i="1" a="1"/>
  <c r="K324" i="1" s="1"/>
  <c r="F324" i="1" a="1"/>
  <c r="F324" i="1" s="1"/>
  <c r="E324" i="1" a="1"/>
  <c r="E324" i="1" s="1"/>
  <c r="D324" i="1" a="1"/>
  <c r="D324" i="1" s="1"/>
  <c r="C324" i="1" a="1"/>
  <c r="C324" i="1" s="1"/>
  <c r="B324" i="1" a="1"/>
  <c r="B324" i="1" s="1"/>
  <c r="N323" i="1" a="1"/>
  <c r="N323" i="1" s="1"/>
  <c r="M323" i="1" a="1"/>
  <c r="M323" i="1" s="1"/>
  <c r="L323" i="1" a="1"/>
  <c r="L323" i="1" s="1"/>
  <c r="K323" i="1" a="1"/>
  <c r="K323" i="1" s="1"/>
  <c r="F323" i="1" a="1"/>
  <c r="F323" i="1" s="1"/>
  <c r="E323" i="1" a="1"/>
  <c r="E323" i="1" s="1"/>
  <c r="D323" i="1" a="1"/>
  <c r="D323" i="1" s="1"/>
  <c r="C323" i="1" a="1"/>
  <c r="C323" i="1" s="1"/>
  <c r="B323" i="1" a="1"/>
  <c r="B323" i="1" s="1"/>
  <c r="N322" i="1" a="1"/>
  <c r="N322" i="1" s="1"/>
  <c r="M322" i="1" a="1"/>
  <c r="M322" i="1" s="1"/>
  <c r="L322" i="1" a="1"/>
  <c r="L322" i="1" s="1"/>
  <c r="K322" i="1" a="1"/>
  <c r="K322" i="1" s="1"/>
  <c r="F322" i="1" a="1"/>
  <c r="F322" i="1" s="1"/>
  <c r="E322" i="1" a="1"/>
  <c r="E322" i="1" s="1"/>
  <c r="D322" i="1" a="1"/>
  <c r="D322" i="1" s="1"/>
  <c r="C322" i="1" a="1"/>
  <c r="C322" i="1" s="1"/>
  <c r="B322" i="1" a="1"/>
  <c r="B322" i="1" s="1"/>
  <c r="N321" i="1" a="1"/>
  <c r="N321" i="1" s="1"/>
  <c r="M321" i="1" a="1"/>
  <c r="M321" i="1" s="1"/>
  <c r="L321" i="1" a="1"/>
  <c r="L321" i="1" s="1"/>
  <c r="K321" i="1" a="1"/>
  <c r="K321" i="1" s="1"/>
  <c r="F321" i="1" a="1"/>
  <c r="F321" i="1" s="1"/>
  <c r="E321" i="1" a="1"/>
  <c r="E321" i="1" s="1"/>
  <c r="D321" i="1" a="1"/>
  <c r="D321" i="1" s="1"/>
  <c r="C321" i="1" a="1"/>
  <c r="C321" i="1" s="1"/>
  <c r="B321" i="1" a="1"/>
  <c r="B321" i="1" s="1"/>
  <c r="N320" i="1" a="1"/>
  <c r="N320" i="1" s="1"/>
  <c r="M320" i="1" a="1"/>
  <c r="M320" i="1" s="1"/>
  <c r="L320" i="1" a="1"/>
  <c r="L320" i="1" s="1"/>
  <c r="K320" i="1" a="1"/>
  <c r="K320" i="1" s="1"/>
  <c r="F320" i="1" a="1"/>
  <c r="F320" i="1" s="1"/>
  <c r="E320" i="1" a="1"/>
  <c r="E320" i="1" s="1"/>
  <c r="D320" i="1" a="1"/>
  <c r="D320" i="1" s="1"/>
  <c r="C320" i="1" a="1"/>
  <c r="C320" i="1" s="1"/>
  <c r="B320" i="1" a="1"/>
  <c r="B320" i="1" s="1"/>
  <c r="N319" i="1" a="1"/>
  <c r="N319" i="1" s="1"/>
  <c r="M319" i="1" a="1"/>
  <c r="M319" i="1" s="1"/>
  <c r="L319" i="1" a="1"/>
  <c r="L319" i="1" s="1"/>
  <c r="K319" i="1" a="1"/>
  <c r="K319" i="1" s="1"/>
  <c r="F319" i="1" a="1"/>
  <c r="F319" i="1" s="1"/>
  <c r="E319" i="1" a="1"/>
  <c r="E319" i="1" s="1"/>
  <c r="D319" i="1" a="1"/>
  <c r="D319" i="1" s="1"/>
  <c r="C319" i="1" a="1"/>
  <c r="C319" i="1" s="1"/>
  <c r="B319" i="1" a="1"/>
  <c r="B319" i="1" s="1"/>
  <c r="N318" i="1" a="1"/>
  <c r="N318" i="1" s="1"/>
  <c r="M318" i="1" a="1"/>
  <c r="M318" i="1" s="1"/>
  <c r="L318" i="1" a="1"/>
  <c r="L318" i="1" s="1"/>
  <c r="K318" i="1" a="1"/>
  <c r="K318" i="1" s="1"/>
  <c r="F318" i="1" a="1"/>
  <c r="F318" i="1" s="1"/>
  <c r="E318" i="1" a="1"/>
  <c r="E318" i="1" s="1"/>
  <c r="D318" i="1" a="1"/>
  <c r="D318" i="1" s="1"/>
  <c r="C318" i="1" a="1"/>
  <c r="C318" i="1" s="1"/>
  <c r="B318" i="1" a="1"/>
  <c r="B318" i="1" s="1"/>
  <c r="N317" i="1" a="1"/>
  <c r="N317" i="1" s="1"/>
  <c r="M317" i="1" a="1"/>
  <c r="M317" i="1" s="1"/>
  <c r="L317" i="1" a="1"/>
  <c r="L317" i="1" s="1"/>
  <c r="K317" i="1" a="1"/>
  <c r="K317" i="1" s="1"/>
  <c r="F317" i="1" a="1"/>
  <c r="F317" i="1" s="1"/>
  <c r="E317" i="1" a="1"/>
  <c r="E317" i="1" s="1"/>
  <c r="D317" i="1" a="1"/>
  <c r="D317" i="1" s="1"/>
  <c r="C317" i="1" a="1"/>
  <c r="C317" i="1" s="1"/>
  <c r="B317" i="1" a="1"/>
  <c r="B317" i="1" s="1"/>
  <c r="N316" i="1" a="1"/>
  <c r="N316" i="1" s="1"/>
  <c r="M316" i="1" a="1"/>
  <c r="M316" i="1" s="1"/>
  <c r="L316" i="1" a="1"/>
  <c r="L316" i="1" s="1"/>
  <c r="K316" i="1" a="1"/>
  <c r="K316" i="1" s="1"/>
  <c r="F316" i="1" a="1"/>
  <c r="F316" i="1" s="1"/>
  <c r="E316" i="1" a="1"/>
  <c r="E316" i="1" s="1"/>
  <c r="D316" i="1" a="1"/>
  <c r="D316" i="1" s="1"/>
  <c r="C316" i="1" a="1"/>
  <c r="C316" i="1" s="1"/>
  <c r="B316" i="1" a="1"/>
  <c r="B316" i="1" s="1"/>
  <c r="N315" i="1" a="1"/>
  <c r="N315" i="1" s="1"/>
  <c r="M315" i="1" a="1"/>
  <c r="M315" i="1" s="1"/>
  <c r="L315" i="1" a="1"/>
  <c r="L315" i="1" s="1"/>
  <c r="K315" i="1" a="1"/>
  <c r="K315" i="1" s="1"/>
  <c r="F315" i="1" a="1"/>
  <c r="F315" i="1" s="1"/>
  <c r="E315" i="1" a="1"/>
  <c r="E315" i="1" s="1"/>
  <c r="D315" i="1" a="1"/>
  <c r="D315" i="1" s="1"/>
  <c r="C315" i="1" a="1"/>
  <c r="C315" i="1" s="1"/>
  <c r="B315" i="1" a="1"/>
  <c r="B315" i="1" s="1"/>
  <c r="N314" i="1" a="1"/>
  <c r="N314" i="1" s="1"/>
  <c r="M314" i="1" a="1"/>
  <c r="M314" i="1" s="1"/>
  <c r="L314" i="1" a="1"/>
  <c r="L314" i="1" s="1"/>
  <c r="K314" i="1" a="1"/>
  <c r="K314" i="1" s="1"/>
  <c r="F314" i="1" a="1"/>
  <c r="F314" i="1" s="1"/>
  <c r="E314" i="1" a="1"/>
  <c r="E314" i="1" s="1"/>
  <c r="D314" i="1" a="1"/>
  <c r="D314" i="1" s="1"/>
  <c r="C314" i="1" a="1"/>
  <c r="C314" i="1" s="1"/>
  <c r="B314" i="1" a="1"/>
  <c r="B314" i="1" s="1"/>
  <c r="N313" i="1" a="1"/>
  <c r="N313" i="1" s="1"/>
  <c r="M313" i="1" a="1"/>
  <c r="M313" i="1" s="1"/>
  <c r="L313" i="1" a="1"/>
  <c r="L313" i="1" s="1"/>
  <c r="K313" i="1" a="1"/>
  <c r="K313" i="1" s="1"/>
  <c r="F313" i="1" a="1"/>
  <c r="F313" i="1" s="1"/>
  <c r="E313" i="1" a="1"/>
  <c r="E313" i="1" s="1"/>
  <c r="D313" i="1" a="1"/>
  <c r="D313" i="1" s="1"/>
  <c r="C313" i="1" a="1"/>
  <c r="C313" i="1" s="1"/>
  <c r="B313" i="1" a="1"/>
  <c r="B313" i="1" s="1"/>
  <c r="N312" i="1" a="1"/>
  <c r="N312" i="1" s="1"/>
  <c r="M312" i="1" a="1"/>
  <c r="M312" i="1" s="1"/>
  <c r="L312" i="1" a="1"/>
  <c r="L312" i="1" s="1"/>
  <c r="K312" i="1" a="1"/>
  <c r="K312" i="1" s="1"/>
  <c r="F312" i="1" a="1"/>
  <c r="F312" i="1" s="1"/>
  <c r="E312" i="1" a="1"/>
  <c r="E312" i="1" s="1"/>
  <c r="D312" i="1" a="1"/>
  <c r="D312" i="1" s="1"/>
  <c r="C312" i="1" a="1"/>
  <c r="C312" i="1" s="1"/>
  <c r="B312" i="1" a="1"/>
  <c r="B312" i="1" s="1"/>
  <c r="N311" i="1" a="1"/>
  <c r="N311" i="1" s="1"/>
  <c r="M311" i="1" a="1"/>
  <c r="M311" i="1" s="1"/>
  <c r="L311" i="1" a="1"/>
  <c r="L311" i="1" s="1"/>
  <c r="K311" i="1" a="1"/>
  <c r="K311" i="1" s="1"/>
  <c r="F311" i="1" a="1"/>
  <c r="F311" i="1" s="1"/>
  <c r="E311" i="1" a="1"/>
  <c r="E311" i="1" s="1"/>
  <c r="D311" i="1" a="1"/>
  <c r="D311" i="1" s="1"/>
  <c r="C311" i="1" a="1"/>
  <c r="C311" i="1" s="1"/>
  <c r="B311" i="1" a="1"/>
  <c r="B311" i="1" s="1"/>
  <c r="N310" i="1" a="1"/>
  <c r="N310" i="1" s="1"/>
  <c r="M310" i="1" a="1"/>
  <c r="M310" i="1" s="1"/>
  <c r="L310" i="1" a="1"/>
  <c r="L310" i="1" s="1"/>
  <c r="K310" i="1" a="1"/>
  <c r="K310" i="1" s="1"/>
  <c r="F310" i="1" a="1"/>
  <c r="F310" i="1" s="1"/>
  <c r="E310" i="1" a="1"/>
  <c r="E310" i="1" s="1"/>
  <c r="D310" i="1" a="1"/>
  <c r="D310" i="1" s="1"/>
  <c r="C310" i="1" a="1"/>
  <c r="C310" i="1" s="1"/>
  <c r="B310" i="1" a="1"/>
  <c r="B310" i="1" s="1"/>
  <c r="N309" i="1" a="1"/>
  <c r="N309" i="1" s="1"/>
  <c r="M309" i="1" a="1"/>
  <c r="M309" i="1" s="1"/>
  <c r="L309" i="1" a="1"/>
  <c r="L309" i="1" s="1"/>
  <c r="K309" i="1" a="1"/>
  <c r="K309" i="1" s="1"/>
  <c r="F309" i="1" a="1"/>
  <c r="F309" i="1" s="1"/>
  <c r="E309" i="1" a="1"/>
  <c r="E309" i="1" s="1"/>
  <c r="D309" i="1" a="1"/>
  <c r="D309" i="1" s="1"/>
  <c r="C309" i="1" a="1"/>
  <c r="C309" i="1" s="1"/>
  <c r="B309" i="1" a="1"/>
  <c r="B309" i="1" s="1"/>
  <c r="N308" i="1" a="1"/>
  <c r="N308" i="1" s="1"/>
  <c r="M308" i="1" a="1"/>
  <c r="M308" i="1" s="1"/>
  <c r="L308" i="1" a="1"/>
  <c r="L308" i="1" s="1"/>
  <c r="K308" i="1" a="1"/>
  <c r="K308" i="1" s="1"/>
  <c r="F308" i="1" a="1"/>
  <c r="F308" i="1" s="1"/>
  <c r="E308" i="1" a="1"/>
  <c r="E308" i="1" s="1"/>
  <c r="D308" i="1" a="1"/>
  <c r="D308" i="1" s="1"/>
  <c r="C308" i="1" a="1"/>
  <c r="C308" i="1" s="1"/>
  <c r="B308" i="1" a="1"/>
  <c r="B308" i="1" s="1"/>
  <c r="N307" i="1" a="1"/>
  <c r="N307" i="1" s="1"/>
  <c r="M307" i="1" a="1"/>
  <c r="M307" i="1" s="1"/>
  <c r="L307" i="1" a="1"/>
  <c r="L307" i="1" s="1"/>
  <c r="K307" i="1" a="1"/>
  <c r="K307" i="1" s="1"/>
  <c r="F307" i="1" a="1"/>
  <c r="F307" i="1" s="1"/>
  <c r="E307" i="1" a="1"/>
  <c r="E307" i="1" s="1"/>
  <c r="D307" i="1" a="1"/>
  <c r="D307" i="1" s="1"/>
  <c r="C307" i="1" a="1"/>
  <c r="C307" i="1" s="1"/>
  <c r="B307" i="1" a="1"/>
  <c r="B307" i="1" s="1"/>
  <c r="N306" i="1" a="1"/>
  <c r="N306" i="1" s="1"/>
  <c r="M306" i="1" a="1"/>
  <c r="M306" i="1" s="1"/>
  <c r="L306" i="1" a="1"/>
  <c r="L306" i="1" s="1"/>
  <c r="K306" i="1" a="1"/>
  <c r="K306" i="1" s="1"/>
  <c r="F306" i="1" a="1"/>
  <c r="F306" i="1" s="1"/>
  <c r="E306" i="1" a="1"/>
  <c r="E306" i="1" s="1"/>
  <c r="D306" i="1" a="1"/>
  <c r="D306" i="1" s="1"/>
  <c r="C306" i="1" a="1"/>
  <c r="C306" i="1" s="1"/>
  <c r="B306" i="1" a="1"/>
  <c r="B306" i="1" s="1"/>
  <c r="N305" i="1" a="1"/>
  <c r="N305" i="1" s="1"/>
  <c r="M305" i="1" a="1"/>
  <c r="M305" i="1" s="1"/>
  <c r="L305" i="1" a="1"/>
  <c r="L305" i="1" s="1"/>
  <c r="K305" i="1" a="1"/>
  <c r="K305" i="1" s="1"/>
  <c r="F305" i="1" a="1"/>
  <c r="F305" i="1" s="1"/>
  <c r="E305" i="1" a="1"/>
  <c r="E305" i="1" s="1"/>
  <c r="D305" i="1" a="1"/>
  <c r="D305" i="1" s="1"/>
  <c r="C305" i="1" a="1"/>
  <c r="C305" i="1" s="1"/>
  <c r="B305" i="1" a="1"/>
  <c r="B305" i="1" s="1"/>
  <c r="N304" i="1" a="1"/>
  <c r="N304" i="1" s="1"/>
  <c r="M304" i="1" a="1"/>
  <c r="M304" i="1" s="1"/>
  <c r="L304" i="1" a="1"/>
  <c r="L304" i="1" s="1"/>
  <c r="K304" i="1" a="1"/>
  <c r="K304" i="1" s="1"/>
  <c r="F304" i="1" a="1"/>
  <c r="F304" i="1" s="1"/>
  <c r="E304" i="1" a="1"/>
  <c r="E304" i="1" s="1"/>
  <c r="D304" i="1" a="1"/>
  <c r="D304" i="1" s="1"/>
  <c r="C304" i="1" a="1"/>
  <c r="C304" i="1" s="1"/>
  <c r="B304" i="1" a="1"/>
  <c r="B304" i="1" s="1"/>
  <c r="N303" i="1" a="1"/>
  <c r="N303" i="1" s="1"/>
  <c r="M303" i="1" a="1"/>
  <c r="M303" i="1" s="1"/>
  <c r="L303" i="1" a="1"/>
  <c r="L303" i="1" s="1"/>
  <c r="K303" i="1" a="1"/>
  <c r="K303" i="1" s="1"/>
  <c r="F303" i="1" a="1"/>
  <c r="F303" i="1" s="1"/>
  <c r="E303" i="1" a="1"/>
  <c r="E303" i="1" s="1"/>
  <c r="D303" i="1" a="1"/>
  <c r="D303" i="1" s="1"/>
  <c r="C303" i="1" a="1"/>
  <c r="C303" i="1" s="1"/>
  <c r="B303" i="1" a="1"/>
  <c r="B303" i="1" s="1"/>
  <c r="N302" i="1" a="1"/>
  <c r="N302" i="1" s="1"/>
  <c r="M302" i="1" a="1"/>
  <c r="M302" i="1" s="1"/>
  <c r="L302" i="1" a="1"/>
  <c r="L302" i="1" s="1"/>
  <c r="K302" i="1" a="1"/>
  <c r="K302" i="1" s="1"/>
  <c r="F302" i="1" a="1"/>
  <c r="F302" i="1" s="1"/>
  <c r="E302" i="1" a="1"/>
  <c r="E302" i="1" s="1"/>
  <c r="D302" i="1" a="1"/>
  <c r="D302" i="1" s="1"/>
  <c r="C302" i="1" a="1"/>
  <c r="C302" i="1" s="1"/>
  <c r="B302" i="1" a="1"/>
  <c r="B302" i="1" s="1"/>
  <c r="N301" i="1" a="1"/>
  <c r="N301" i="1" s="1"/>
  <c r="M301" i="1" a="1"/>
  <c r="M301" i="1" s="1"/>
  <c r="L301" i="1" a="1"/>
  <c r="L301" i="1" s="1"/>
  <c r="K301" i="1" a="1"/>
  <c r="K301" i="1" s="1"/>
  <c r="F301" i="1" a="1"/>
  <c r="F301" i="1" s="1"/>
  <c r="E301" i="1" a="1"/>
  <c r="E301" i="1" s="1"/>
  <c r="D301" i="1" a="1"/>
  <c r="D301" i="1" s="1"/>
  <c r="C301" i="1" a="1"/>
  <c r="C301" i="1" s="1"/>
  <c r="B301" i="1" a="1"/>
  <c r="B301" i="1" s="1"/>
  <c r="N300" i="1" a="1"/>
  <c r="N300" i="1" s="1"/>
  <c r="M300" i="1" a="1"/>
  <c r="M300" i="1" s="1"/>
  <c r="L300" i="1" a="1"/>
  <c r="L300" i="1" s="1"/>
  <c r="K300" i="1" a="1"/>
  <c r="K300" i="1" s="1"/>
  <c r="F300" i="1" a="1"/>
  <c r="F300" i="1" s="1"/>
  <c r="E300" i="1" a="1"/>
  <c r="E300" i="1" s="1"/>
  <c r="D300" i="1" a="1"/>
  <c r="D300" i="1" s="1"/>
  <c r="C300" i="1" a="1"/>
  <c r="C300" i="1" s="1"/>
  <c r="B300" i="1" a="1"/>
  <c r="B300" i="1" s="1"/>
  <c r="N299" i="1" a="1"/>
  <c r="N299" i="1" s="1"/>
  <c r="M299" i="1" a="1"/>
  <c r="M299" i="1" s="1"/>
  <c r="L299" i="1" a="1"/>
  <c r="L299" i="1" s="1"/>
  <c r="K299" i="1" a="1"/>
  <c r="K299" i="1" s="1"/>
  <c r="F299" i="1" a="1"/>
  <c r="F299" i="1" s="1"/>
  <c r="E299" i="1" a="1"/>
  <c r="E299" i="1" s="1"/>
  <c r="D299" i="1" a="1"/>
  <c r="D299" i="1" s="1"/>
  <c r="C299" i="1" a="1"/>
  <c r="C299" i="1" s="1"/>
  <c r="B299" i="1" a="1"/>
  <c r="B299" i="1" s="1"/>
  <c r="N298" i="1" a="1"/>
  <c r="N298" i="1" s="1"/>
  <c r="M298" i="1" a="1"/>
  <c r="M298" i="1" s="1"/>
  <c r="L298" i="1" a="1"/>
  <c r="L298" i="1" s="1"/>
  <c r="K298" i="1" a="1"/>
  <c r="K298" i="1" s="1"/>
  <c r="F298" i="1" a="1"/>
  <c r="F298" i="1" s="1"/>
  <c r="E298" i="1" a="1"/>
  <c r="E298" i="1" s="1"/>
  <c r="D298" i="1" a="1"/>
  <c r="D298" i="1" s="1"/>
  <c r="C298" i="1" a="1"/>
  <c r="C298" i="1" s="1"/>
  <c r="B298" i="1" a="1"/>
  <c r="B298" i="1" s="1"/>
  <c r="N297" i="1" a="1"/>
  <c r="N297" i="1" s="1"/>
  <c r="M297" i="1" a="1"/>
  <c r="M297" i="1" s="1"/>
  <c r="L297" i="1" a="1"/>
  <c r="L297" i="1" s="1"/>
  <c r="K297" i="1" a="1"/>
  <c r="K297" i="1" s="1"/>
  <c r="F297" i="1" a="1"/>
  <c r="F297" i="1" s="1"/>
  <c r="E297" i="1" a="1"/>
  <c r="E297" i="1" s="1"/>
  <c r="D297" i="1" a="1"/>
  <c r="D297" i="1" s="1"/>
  <c r="C297" i="1" a="1"/>
  <c r="C297" i="1" s="1"/>
  <c r="B297" i="1" a="1"/>
  <c r="B297" i="1" s="1"/>
  <c r="N296" i="1" a="1"/>
  <c r="N296" i="1" s="1"/>
  <c r="M296" i="1" a="1"/>
  <c r="M296" i="1" s="1"/>
  <c r="L296" i="1" a="1"/>
  <c r="L296" i="1" s="1"/>
  <c r="K296" i="1" a="1"/>
  <c r="K296" i="1" s="1"/>
  <c r="F296" i="1" a="1"/>
  <c r="F296" i="1" s="1"/>
  <c r="E296" i="1" a="1"/>
  <c r="E296" i="1" s="1"/>
  <c r="D296" i="1" a="1"/>
  <c r="D296" i="1" s="1"/>
  <c r="C296" i="1" a="1"/>
  <c r="C296" i="1" s="1"/>
  <c r="B296" i="1" a="1"/>
  <c r="B296" i="1" s="1"/>
  <c r="N295" i="1" a="1"/>
  <c r="N295" i="1" s="1"/>
  <c r="M295" i="1" a="1"/>
  <c r="M295" i="1" s="1"/>
  <c r="L295" i="1" a="1"/>
  <c r="L295" i="1" s="1"/>
  <c r="K295" i="1" a="1"/>
  <c r="K295" i="1" s="1"/>
  <c r="F295" i="1" a="1"/>
  <c r="F295" i="1" s="1"/>
  <c r="E295" i="1" a="1"/>
  <c r="E295" i="1" s="1"/>
  <c r="D295" i="1" a="1"/>
  <c r="D295" i="1" s="1"/>
  <c r="C295" i="1" a="1"/>
  <c r="C295" i="1" s="1"/>
  <c r="B295" i="1" a="1"/>
  <c r="B295" i="1" s="1"/>
  <c r="N294" i="1" a="1"/>
  <c r="N294" i="1" s="1"/>
  <c r="M294" i="1" a="1"/>
  <c r="M294" i="1" s="1"/>
  <c r="L294" i="1" a="1"/>
  <c r="L294" i="1" s="1"/>
  <c r="K294" i="1" a="1"/>
  <c r="K294" i="1" s="1"/>
  <c r="F294" i="1" a="1"/>
  <c r="F294" i="1" s="1"/>
  <c r="E294" i="1" a="1"/>
  <c r="E294" i="1" s="1"/>
  <c r="D294" i="1" a="1"/>
  <c r="D294" i="1" s="1"/>
  <c r="C294" i="1" a="1"/>
  <c r="C294" i="1" s="1"/>
  <c r="B294" i="1" a="1"/>
  <c r="B294" i="1" s="1"/>
  <c r="N293" i="1" a="1"/>
  <c r="N293" i="1" s="1"/>
  <c r="M293" i="1" a="1"/>
  <c r="M293" i="1" s="1"/>
  <c r="L293" i="1" a="1"/>
  <c r="L293" i="1" s="1"/>
  <c r="K293" i="1" a="1"/>
  <c r="K293" i="1" s="1"/>
  <c r="F293" i="1" a="1"/>
  <c r="F293" i="1" s="1"/>
  <c r="E293" i="1" a="1"/>
  <c r="E293" i="1" s="1"/>
  <c r="D293" i="1" a="1"/>
  <c r="D293" i="1" s="1"/>
  <c r="C293" i="1" a="1"/>
  <c r="C293" i="1" s="1"/>
  <c r="B293" i="1" a="1"/>
  <c r="B293" i="1" s="1"/>
  <c r="N292" i="1" a="1"/>
  <c r="N292" i="1" s="1"/>
  <c r="M292" i="1" a="1"/>
  <c r="M292" i="1" s="1"/>
  <c r="L292" i="1" a="1"/>
  <c r="L292" i="1" s="1"/>
  <c r="K292" i="1" a="1"/>
  <c r="K292" i="1" s="1"/>
  <c r="F292" i="1" a="1"/>
  <c r="F292" i="1" s="1"/>
  <c r="E292" i="1" a="1"/>
  <c r="E292" i="1" s="1"/>
  <c r="D292" i="1" a="1"/>
  <c r="D292" i="1" s="1"/>
  <c r="C292" i="1" a="1"/>
  <c r="C292" i="1" s="1"/>
  <c r="B292" i="1" a="1"/>
  <c r="B292" i="1" s="1"/>
  <c r="N291" i="1" a="1"/>
  <c r="N291" i="1" s="1"/>
  <c r="M291" i="1" a="1"/>
  <c r="M291" i="1" s="1"/>
  <c r="L291" i="1" a="1"/>
  <c r="L291" i="1" s="1"/>
  <c r="K291" i="1" a="1"/>
  <c r="K291" i="1" s="1"/>
  <c r="F291" i="1" a="1"/>
  <c r="F291" i="1" s="1"/>
  <c r="E291" i="1" a="1"/>
  <c r="E291" i="1" s="1"/>
  <c r="D291" i="1" a="1"/>
  <c r="D291" i="1" s="1"/>
  <c r="C291" i="1" a="1"/>
  <c r="C291" i="1" s="1"/>
  <c r="B291" i="1" a="1"/>
  <c r="B291" i="1" s="1"/>
  <c r="N290" i="1" a="1"/>
  <c r="N290" i="1" s="1"/>
  <c r="M290" i="1" a="1"/>
  <c r="M290" i="1" s="1"/>
  <c r="L290" i="1" a="1"/>
  <c r="L290" i="1" s="1"/>
  <c r="K290" i="1" a="1"/>
  <c r="K290" i="1" s="1"/>
  <c r="F290" i="1" a="1"/>
  <c r="F290" i="1" s="1"/>
  <c r="E290" i="1" a="1"/>
  <c r="E290" i="1" s="1"/>
  <c r="D290" i="1" a="1"/>
  <c r="D290" i="1" s="1"/>
  <c r="C290" i="1" a="1"/>
  <c r="C290" i="1" s="1"/>
  <c r="B290" i="1" a="1"/>
  <c r="B290" i="1" s="1"/>
  <c r="N289" i="1" a="1"/>
  <c r="N289" i="1" s="1"/>
  <c r="M289" i="1" a="1"/>
  <c r="M289" i="1" s="1"/>
  <c r="L289" i="1" a="1"/>
  <c r="L289" i="1" s="1"/>
  <c r="K289" i="1" a="1"/>
  <c r="K289" i="1" s="1"/>
  <c r="F289" i="1" a="1"/>
  <c r="F289" i="1" s="1"/>
  <c r="E289" i="1" a="1"/>
  <c r="E289" i="1" s="1"/>
  <c r="D289" i="1" a="1"/>
  <c r="D289" i="1" s="1"/>
  <c r="C289" i="1" a="1"/>
  <c r="C289" i="1" s="1"/>
  <c r="B289" i="1" a="1"/>
  <c r="B289" i="1" s="1"/>
  <c r="N288" i="1" a="1"/>
  <c r="N288" i="1" s="1"/>
  <c r="M288" i="1" a="1"/>
  <c r="M288" i="1" s="1"/>
  <c r="L288" i="1" a="1"/>
  <c r="L288" i="1" s="1"/>
  <c r="K288" i="1" a="1"/>
  <c r="K288" i="1" s="1"/>
  <c r="F288" i="1" a="1"/>
  <c r="F288" i="1" s="1"/>
  <c r="E288" i="1" a="1"/>
  <c r="E288" i="1" s="1"/>
  <c r="D288" i="1" a="1"/>
  <c r="D288" i="1" s="1"/>
  <c r="C288" i="1" a="1"/>
  <c r="C288" i="1" s="1"/>
  <c r="B288" i="1" a="1"/>
  <c r="B288" i="1" s="1"/>
  <c r="N287" i="1" a="1"/>
  <c r="N287" i="1" s="1"/>
  <c r="M287" i="1" a="1"/>
  <c r="M287" i="1" s="1"/>
  <c r="L287" i="1" a="1"/>
  <c r="L287" i="1" s="1"/>
  <c r="K287" i="1" a="1"/>
  <c r="K287" i="1" s="1"/>
  <c r="F287" i="1" a="1"/>
  <c r="F287" i="1" s="1"/>
  <c r="E287" i="1" a="1"/>
  <c r="E287" i="1" s="1"/>
  <c r="D287" i="1" a="1"/>
  <c r="D287" i="1" s="1"/>
  <c r="C287" i="1" a="1"/>
  <c r="C287" i="1" s="1"/>
  <c r="B287" i="1" a="1"/>
  <c r="B287" i="1" s="1"/>
  <c r="N286" i="1" a="1"/>
  <c r="N286" i="1" s="1"/>
  <c r="M286" i="1" a="1"/>
  <c r="M286" i="1" s="1"/>
  <c r="L286" i="1" a="1"/>
  <c r="L286" i="1" s="1"/>
  <c r="K286" i="1" a="1"/>
  <c r="K286" i="1" s="1"/>
  <c r="F286" i="1" a="1"/>
  <c r="F286" i="1" s="1"/>
  <c r="E286" i="1" a="1"/>
  <c r="E286" i="1" s="1"/>
  <c r="D286" i="1" a="1"/>
  <c r="D286" i="1" s="1"/>
  <c r="C286" i="1" a="1"/>
  <c r="C286" i="1" s="1"/>
  <c r="B286" i="1" a="1"/>
  <c r="B286" i="1" s="1"/>
  <c r="N285" i="1" a="1"/>
  <c r="N285" i="1" s="1"/>
  <c r="M285" i="1" a="1"/>
  <c r="M285" i="1" s="1"/>
  <c r="L285" i="1" a="1"/>
  <c r="L285" i="1" s="1"/>
  <c r="K285" i="1" a="1"/>
  <c r="K285" i="1" s="1"/>
  <c r="F285" i="1" a="1"/>
  <c r="F285" i="1" s="1"/>
  <c r="E285" i="1" a="1"/>
  <c r="E285" i="1" s="1"/>
  <c r="D285" i="1" a="1"/>
  <c r="D285" i="1" s="1"/>
  <c r="C285" i="1" a="1"/>
  <c r="C285" i="1" s="1"/>
  <c r="B285" i="1" a="1"/>
  <c r="B285" i="1" s="1"/>
  <c r="N284" i="1" a="1"/>
  <c r="N284" i="1" s="1"/>
  <c r="M284" i="1" a="1"/>
  <c r="M284" i="1" s="1"/>
  <c r="L284" i="1" a="1"/>
  <c r="L284" i="1" s="1"/>
  <c r="K284" i="1" a="1"/>
  <c r="K284" i="1" s="1"/>
  <c r="F284" i="1" a="1"/>
  <c r="F284" i="1" s="1"/>
  <c r="E284" i="1" a="1"/>
  <c r="E284" i="1" s="1"/>
  <c r="D284" i="1" a="1"/>
  <c r="D284" i="1" s="1"/>
  <c r="C284" i="1" a="1"/>
  <c r="C284" i="1" s="1"/>
  <c r="B284" i="1" a="1"/>
  <c r="B284" i="1" s="1"/>
  <c r="N283" i="1" a="1"/>
  <c r="N283" i="1" s="1"/>
  <c r="M283" i="1" a="1"/>
  <c r="M283" i="1" s="1"/>
  <c r="L283" i="1" a="1"/>
  <c r="L283" i="1" s="1"/>
  <c r="K283" i="1" a="1"/>
  <c r="K283" i="1" s="1"/>
  <c r="F283" i="1" a="1"/>
  <c r="F283" i="1" s="1"/>
  <c r="E283" i="1" a="1"/>
  <c r="E283" i="1" s="1"/>
  <c r="D283" i="1" a="1"/>
  <c r="D283" i="1" s="1"/>
  <c r="C283" i="1" a="1"/>
  <c r="C283" i="1" s="1"/>
  <c r="B283" i="1" a="1"/>
  <c r="B283" i="1" s="1"/>
  <c r="N282" i="1" a="1"/>
  <c r="N282" i="1" s="1"/>
  <c r="M282" i="1" a="1"/>
  <c r="M282" i="1" s="1"/>
  <c r="L282" i="1" a="1"/>
  <c r="L282" i="1" s="1"/>
  <c r="K282" i="1" a="1"/>
  <c r="K282" i="1" s="1"/>
  <c r="F282" i="1" a="1"/>
  <c r="F282" i="1" s="1"/>
  <c r="E282" i="1" a="1"/>
  <c r="E282" i="1" s="1"/>
  <c r="D282" i="1" a="1"/>
  <c r="D282" i="1" s="1"/>
  <c r="C282" i="1" a="1"/>
  <c r="C282" i="1" s="1"/>
  <c r="B282" i="1" a="1"/>
  <c r="B282" i="1" s="1"/>
  <c r="N281" i="1" a="1"/>
  <c r="N281" i="1" s="1"/>
  <c r="M281" i="1" a="1"/>
  <c r="M281" i="1" s="1"/>
  <c r="L281" i="1" a="1"/>
  <c r="L281" i="1" s="1"/>
  <c r="K281" i="1" a="1"/>
  <c r="K281" i="1" s="1"/>
  <c r="F281" i="1" a="1"/>
  <c r="F281" i="1" s="1"/>
  <c r="E281" i="1" a="1"/>
  <c r="E281" i="1" s="1"/>
  <c r="D281" i="1" a="1"/>
  <c r="D281" i="1" s="1"/>
  <c r="C281" i="1" a="1"/>
  <c r="C281" i="1" s="1"/>
  <c r="B281" i="1" a="1"/>
  <c r="B281" i="1" s="1"/>
  <c r="N280" i="1" a="1"/>
  <c r="N280" i="1" s="1"/>
  <c r="M280" i="1" a="1"/>
  <c r="M280" i="1" s="1"/>
  <c r="L280" i="1" a="1"/>
  <c r="L280" i="1" s="1"/>
  <c r="K280" i="1" a="1"/>
  <c r="K280" i="1" s="1"/>
  <c r="F280" i="1" a="1"/>
  <c r="F280" i="1" s="1"/>
  <c r="E280" i="1" a="1"/>
  <c r="E280" i="1" s="1"/>
  <c r="D280" i="1" a="1"/>
  <c r="D280" i="1" s="1"/>
  <c r="C280" i="1" a="1"/>
  <c r="C280" i="1" s="1"/>
  <c r="B280" i="1" a="1"/>
  <c r="B280" i="1" s="1"/>
  <c r="N279" i="1" a="1"/>
  <c r="N279" i="1" s="1"/>
  <c r="M279" i="1" a="1"/>
  <c r="M279" i="1" s="1"/>
  <c r="L279" i="1" a="1"/>
  <c r="L279" i="1" s="1"/>
  <c r="K279" i="1" a="1"/>
  <c r="K279" i="1" s="1"/>
  <c r="F279" i="1" a="1"/>
  <c r="F279" i="1" s="1"/>
  <c r="E279" i="1" a="1"/>
  <c r="E279" i="1" s="1"/>
  <c r="D279" i="1" a="1"/>
  <c r="D279" i="1" s="1"/>
  <c r="C279" i="1" a="1"/>
  <c r="C279" i="1" s="1"/>
  <c r="B279" i="1" a="1"/>
  <c r="B279" i="1" s="1"/>
  <c r="N278" i="1" a="1"/>
  <c r="N278" i="1" s="1"/>
  <c r="M278" i="1" a="1"/>
  <c r="M278" i="1" s="1"/>
  <c r="L278" i="1" a="1"/>
  <c r="L278" i="1" s="1"/>
  <c r="K278" i="1" a="1"/>
  <c r="K278" i="1" s="1"/>
  <c r="F278" i="1" a="1"/>
  <c r="F278" i="1" s="1"/>
  <c r="E278" i="1" a="1"/>
  <c r="E278" i="1" s="1"/>
  <c r="D278" i="1" a="1"/>
  <c r="D278" i="1" s="1"/>
  <c r="C278" i="1" a="1"/>
  <c r="C278" i="1" s="1"/>
  <c r="B278" i="1" a="1"/>
  <c r="B278" i="1" s="1"/>
  <c r="N277" i="1" a="1"/>
  <c r="N277" i="1" s="1"/>
  <c r="M277" i="1" a="1"/>
  <c r="M277" i="1" s="1"/>
  <c r="L277" i="1" a="1"/>
  <c r="L277" i="1" s="1"/>
  <c r="K277" i="1" a="1"/>
  <c r="K277" i="1" s="1"/>
  <c r="F277" i="1" a="1"/>
  <c r="F277" i="1" s="1"/>
  <c r="E277" i="1" a="1"/>
  <c r="E277" i="1" s="1"/>
  <c r="D277" i="1" a="1"/>
  <c r="D277" i="1" s="1"/>
  <c r="C277" i="1" a="1"/>
  <c r="C277" i="1" s="1"/>
  <c r="B277" i="1" a="1"/>
  <c r="B277" i="1" s="1"/>
  <c r="N276" i="1" a="1"/>
  <c r="N276" i="1" s="1"/>
  <c r="M276" i="1" a="1"/>
  <c r="M276" i="1" s="1"/>
  <c r="L276" i="1" a="1"/>
  <c r="L276" i="1" s="1"/>
  <c r="K276" i="1" a="1"/>
  <c r="K276" i="1" s="1"/>
  <c r="F276" i="1" a="1"/>
  <c r="F276" i="1" s="1"/>
  <c r="E276" i="1" a="1"/>
  <c r="E276" i="1" s="1"/>
  <c r="D276" i="1" a="1"/>
  <c r="D276" i="1" s="1"/>
  <c r="C276" i="1" a="1"/>
  <c r="C276" i="1" s="1"/>
  <c r="B276" i="1" a="1"/>
  <c r="B276" i="1" s="1"/>
  <c r="N275" i="1" a="1"/>
  <c r="N275" i="1" s="1"/>
  <c r="M275" i="1" a="1"/>
  <c r="M275" i="1" s="1"/>
  <c r="L275" i="1" a="1"/>
  <c r="L275" i="1" s="1"/>
  <c r="K275" i="1" a="1"/>
  <c r="K275" i="1" s="1"/>
  <c r="F275" i="1" a="1"/>
  <c r="F275" i="1" s="1"/>
  <c r="E275" i="1" a="1"/>
  <c r="E275" i="1" s="1"/>
  <c r="D275" i="1" a="1"/>
  <c r="D275" i="1" s="1"/>
  <c r="C275" i="1" a="1"/>
  <c r="C275" i="1" s="1"/>
  <c r="B275" i="1" a="1"/>
  <c r="B275" i="1" s="1"/>
  <c r="N274" i="1" a="1"/>
  <c r="N274" i="1" s="1"/>
  <c r="M274" i="1" a="1"/>
  <c r="M274" i="1" s="1"/>
  <c r="L274" i="1" a="1"/>
  <c r="L274" i="1" s="1"/>
  <c r="K274" i="1" a="1"/>
  <c r="K274" i="1" s="1"/>
  <c r="F274" i="1" a="1"/>
  <c r="F274" i="1" s="1"/>
  <c r="E274" i="1" a="1"/>
  <c r="E274" i="1" s="1"/>
  <c r="D274" i="1" a="1"/>
  <c r="D274" i="1" s="1"/>
  <c r="C274" i="1" a="1"/>
  <c r="C274" i="1" s="1"/>
  <c r="B274" i="1" a="1"/>
  <c r="B274" i="1" s="1"/>
  <c r="N273" i="1" a="1"/>
  <c r="N273" i="1" s="1"/>
  <c r="M273" i="1" a="1"/>
  <c r="M273" i="1" s="1"/>
  <c r="L273" i="1" a="1"/>
  <c r="L273" i="1" s="1"/>
  <c r="K273" i="1" a="1"/>
  <c r="K273" i="1" s="1"/>
  <c r="F273" i="1" a="1"/>
  <c r="F273" i="1" s="1"/>
  <c r="E273" i="1" a="1"/>
  <c r="E273" i="1" s="1"/>
  <c r="D273" i="1" a="1"/>
  <c r="D273" i="1" s="1"/>
  <c r="C273" i="1" a="1"/>
  <c r="C273" i="1" s="1"/>
  <c r="B273" i="1" a="1"/>
  <c r="B273" i="1" s="1"/>
  <c r="N272" i="1" a="1"/>
  <c r="N272" i="1" s="1"/>
  <c r="M272" i="1" a="1"/>
  <c r="M272" i="1" s="1"/>
  <c r="L272" i="1" a="1"/>
  <c r="L272" i="1" s="1"/>
  <c r="K272" i="1" a="1"/>
  <c r="K272" i="1" s="1"/>
  <c r="F272" i="1" a="1"/>
  <c r="F272" i="1" s="1"/>
  <c r="E272" i="1" a="1"/>
  <c r="E272" i="1" s="1"/>
  <c r="D272" i="1" a="1"/>
  <c r="D272" i="1" s="1"/>
  <c r="C272" i="1" a="1"/>
  <c r="C272" i="1" s="1"/>
  <c r="B272" i="1" a="1"/>
  <c r="B272" i="1" s="1"/>
  <c r="N271" i="1" a="1"/>
  <c r="N271" i="1" s="1"/>
  <c r="M271" i="1" a="1"/>
  <c r="M271" i="1" s="1"/>
  <c r="L271" i="1" a="1"/>
  <c r="L271" i="1" s="1"/>
  <c r="K271" i="1" a="1"/>
  <c r="K271" i="1" s="1"/>
  <c r="F271" i="1" a="1"/>
  <c r="F271" i="1" s="1"/>
  <c r="E271" i="1" a="1"/>
  <c r="E271" i="1" s="1"/>
  <c r="D271" i="1" a="1"/>
  <c r="D271" i="1" s="1"/>
  <c r="C271" i="1" a="1"/>
  <c r="C271" i="1" s="1"/>
  <c r="B271" i="1" a="1"/>
  <c r="B271" i="1" s="1"/>
  <c r="N270" i="1" a="1"/>
  <c r="N270" i="1" s="1"/>
  <c r="M270" i="1" a="1"/>
  <c r="M270" i="1" s="1"/>
  <c r="L270" i="1" a="1"/>
  <c r="L270" i="1" s="1"/>
  <c r="K270" i="1" a="1"/>
  <c r="K270" i="1" s="1"/>
  <c r="F270" i="1" a="1"/>
  <c r="F270" i="1" s="1"/>
  <c r="E270" i="1" a="1"/>
  <c r="E270" i="1" s="1"/>
  <c r="D270" i="1" a="1"/>
  <c r="D270" i="1" s="1"/>
  <c r="C270" i="1" a="1"/>
  <c r="C270" i="1" s="1"/>
  <c r="B270" i="1" a="1"/>
  <c r="B270" i="1" s="1"/>
  <c r="N269" i="1" a="1"/>
  <c r="N269" i="1" s="1"/>
  <c r="M269" i="1" a="1"/>
  <c r="M269" i="1" s="1"/>
  <c r="L269" i="1" a="1"/>
  <c r="L269" i="1" s="1"/>
  <c r="K269" i="1" a="1"/>
  <c r="K269" i="1" s="1"/>
  <c r="F269" i="1" a="1"/>
  <c r="F269" i="1" s="1"/>
  <c r="E269" i="1" a="1"/>
  <c r="E269" i="1" s="1"/>
  <c r="D269" i="1" a="1"/>
  <c r="D269" i="1" s="1"/>
  <c r="C269" i="1" a="1"/>
  <c r="C269" i="1" s="1"/>
  <c r="B269" i="1" a="1"/>
  <c r="B269" i="1" s="1"/>
  <c r="N268" i="1" a="1"/>
  <c r="N268" i="1" s="1"/>
  <c r="M268" i="1" a="1"/>
  <c r="M268" i="1" s="1"/>
  <c r="L268" i="1" a="1"/>
  <c r="L268" i="1" s="1"/>
  <c r="K268" i="1" a="1"/>
  <c r="K268" i="1" s="1"/>
  <c r="F268" i="1" a="1"/>
  <c r="F268" i="1" s="1"/>
  <c r="E268" i="1" a="1"/>
  <c r="E268" i="1" s="1"/>
  <c r="D268" i="1" a="1"/>
  <c r="D268" i="1" s="1"/>
  <c r="C268" i="1" a="1"/>
  <c r="C268" i="1" s="1"/>
  <c r="B268" i="1" a="1"/>
  <c r="B268" i="1" s="1"/>
  <c r="N267" i="1" a="1"/>
  <c r="N267" i="1" s="1"/>
  <c r="M267" i="1" a="1"/>
  <c r="M267" i="1" s="1"/>
  <c r="L267" i="1" a="1"/>
  <c r="L267" i="1" s="1"/>
  <c r="K267" i="1" a="1"/>
  <c r="K267" i="1" s="1"/>
  <c r="F267" i="1" a="1"/>
  <c r="F267" i="1" s="1"/>
  <c r="E267" i="1" a="1"/>
  <c r="E267" i="1" s="1"/>
  <c r="D267" i="1" a="1"/>
  <c r="D267" i="1" s="1"/>
  <c r="C267" i="1" a="1"/>
  <c r="C267" i="1" s="1"/>
  <c r="B267" i="1" a="1"/>
  <c r="B267" i="1" s="1"/>
  <c r="N266" i="1" a="1"/>
  <c r="N266" i="1" s="1"/>
  <c r="M266" i="1" a="1"/>
  <c r="M266" i="1" s="1"/>
  <c r="L266" i="1" a="1"/>
  <c r="L266" i="1" s="1"/>
  <c r="K266" i="1" a="1"/>
  <c r="K266" i="1" s="1"/>
  <c r="F266" i="1" a="1"/>
  <c r="F266" i="1" s="1"/>
  <c r="E266" i="1" a="1"/>
  <c r="E266" i="1" s="1"/>
  <c r="D266" i="1" a="1"/>
  <c r="D266" i="1" s="1"/>
  <c r="C266" i="1" a="1"/>
  <c r="C266" i="1" s="1"/>
  <c r="B266" i="1" a="1"/>
  <c r="B266" i="1" s="1"/>
  <c r="N265" i="1" a="1"/>
  <c r="N265" i="1" s="1"/>
  <c r="M265" i="1" a="1"/>
  <c r="M265" i="1" s="1"/>
  <c r="L265" i="1" a="1"/>
  <c r="L265" i="1" s="1"/>
  <c r="K265" i="1" a="1"/>
  <c r="K265" i="1" s="1"/>
  <c r="F265" i="1" a="1"/>
  <c r="F265" i="1" s="1"/>
  <c r="E265" i="1" a="1"/>
  <c r="E265" i="1" s="1"/>
  <c r="D265" i="1" a="1"/>
  <c r="D265" i="1" s="1"/>
  <c r="C265" i="1" a="1"/>
  <c r="C265" i="1" s="1"/>
  <c r="B265" i="1" a="1"/>
  <c r="B265" i="1" s="1"/>
  <c r="N264" i="1" a="1"/>
  <c r="N264" i="1" s="1"/>
  <c r="M264" i="1" a="1"/>
  <c r="M264" i="1" s="1"/>
  <c r="L264" i="1" a="1"/>
  <c r="L264" i="1" s="1"/>
  <c r="K264" i="1" a="1"/>
  <c r="K264" i="1" s="1"/>
  <c r="F264" i="1" a="1"/>
  <c r="F264" i="1" s="1"/>
  <c r="E264" i="1" a="1"/>
  <c r="E264" i="1" s="1"/>
  <c r="D264" i="1" a="1"/>
  <c r="D264" i="1" s="1"/>
  <c r="C264" i="1" a="1"/>
  <c r="C264" i="1" s="1"/>
  <c r="B264" i="1" a="1"/>
  <c r="B264" i="1" s="1"/>
  <c r="N263" i="1" a="1"/>
  <c r="N263" i="1" s="1"/>
  <c r="M263" i="1" a="1"/>
  <c r="M263" i="1" s="1"/>
  <c r="L263" i="1" a="1"/>
  <c r="L263" i="1" s="1"/>
  <c r="K263" i="1" a="1"/>
  <c r="K263" i="1" s="1"/>
  <c r="F263" i="1" a="1"/>
  <c r="F263" i="1" s="1"/>
  <c r="E263" i="1" a="1"/>
  <c r="E263" i="1" s="1"/>
  <c r="D263" i="1" a="1"/>
  <c r="D263" i="1" s="1"/>
  <c r="C263" i="1" a="1"/>
  <c r="C263" i="1" s="1"/>
  <c r="B263" i="1" a="1"/>
  <c r="B263" i="1" s="1"/>
  <c r="N262" i="1" a="1"/>
  <c r="N262" i="1" s="1"/>
  <c r="M262" i="1" a="1"/>
  <c r="M262" i="1" s="1"/>
  <c r="L262" i="1" a="1"/>
  <c r="L262" i="1" s="1"/>
  <c r="K262" i="1" a="1"/>
  <c r="K262" i="1" s="1"/>
  <c r="F262" i="1" a="1"/>
  <c r="F262" i="1" s="1"/>
  <c r="E262" i="1" a="1"/>
  <c r="E262" i="1" s="1"/>
  <c r="D262" i="1" a="1"/>
  <c r="D262" i="1" s="1"/>
  <c r="C262" i="1" a="1"/>
  <c r="C262" i="1" s="1"/>
  <c r="B262" i="1" a="1"/>
  <c r="B262" i="1" s="1"/>
  <c r="N261" i="1" a="1"/>
  <c r="N261" i="1" s="1"/>
  <c r="M261" i="1" a="1"/>
  <c r="M261" i="1" s="1"/>
  <c r="L261" i="1" a="1"/>
  <c r="L261" i="1" s="1"/>
  <c r="K261" i="1" a="1"/>
  <c r="K261" i="1" s="1"/>
  <c r="F261" i="1" a="1"/>
  <c r="F261" i="1" s="1"/>
  <c r="E261" i="1" a="1"/>
  <c r="E261" i="1"/>
  <c r="D261" i="1" a="1"/>
  <c r="D261" i="1" s="1"/>
  <c r="C261" i="1" a="1"/>
  <c r="C261" i="1" s="1"/>
  <c r="B261" i="1" a="1"/>
  <c r="B261" i="1" s="1"/>
  <c r="N260" i="1" a="1"/>
  <c r="N260" i="1" s="1"/>
  <c r="M260" i="1" a="1"/>
  <c r="M260" i="1" s="1"/>
  <c r="L260" i="1" a="1"/>
  <c r="L260" i="1" s="1"/>
  <c r="K260" i="1" a="1"/>
  <c r="K260" i="1" s="1"/>
  <c r="F260" i="1" a="1"/>
  <c r="F260" i="1" s="1"/>
  <c r="E260" i="1" a="1"/>
  <c r="E260" i="1" s="1"/>
  <c r="D260" i="1" a="1"/>
  <c r="D260" i="1" s="1"/>
  <c r="C260" i="1" a="1"/>
  <c r="C260" i="1" s="1"/>
  <c r="B260" i="1" a="1"/>
  <c r="B260" i="1" s="1"/>
  <c r="N259" i="1" a="1"/>
  <c r="N259" i="1" s="1"/>
  <c r="M259" i="1" a="1"/>
  <c r="M259" i="1" s="1"/>
  <c r="L259" i="1" a="1"/>
  <c r="L259" i="1" s="1"/>
  <c r="K259" i="1" a="1"/>
  <c r="K259" i="1" s="1"/>
  <c r="F259" i="1" a="1"/>
  <c r="F259" i="1" s="1"/>
  <c r="E259" i="1" a="1"/>
  <c r="E259" i="1" s="1"/>
  <c r="D259" i="1" a="1"/>
  <c r="D259" i="1" s="1"/>
  <c r="C259" i="1" a="1"/>
  <c r="C259" i="1" s="1"/>
  <c r="B259" i="1" a="1"/>
  <c r="B259" i="1" s="1"/>
  <c r="N258" i="1" a="1"/>
  <c r="N258" i="1"/>
  <c r="M258" i="1" a="1"/>
  <c r="M258" i="1" s="1"/>
  <c r="L258" i="1" a="1"/>
  <c r="L258" i="1" s="1"/>
  <c r="K258" i="1" a="1"/>
  <c r="K258" i="1" s="1"/>
  <c r="F258" i="1" a="1"/>
  <c r="F258" i="1" s="1"/>
  <c r="E258" i="1" a="1"/>
  <c r="E258" i="1" s="1"/>
  <c r="D258" i="1" a="1"/>
  <c r="D258" i="1" s="1"/>
  <c r="C258" i="1" a="1"/>
  <c r="C258" i="1" s="1"/>
  <c r="B258" i="1" a="1"/>
  <c r="B258" i="1" s="1"/>
  <c r="N257" i="1" a="1"/>
  <c r="N257" i="1" s="1"/>
  <c r="M257" i="1" a="1"/>
  <c r="M257" i="1" s="1"/>
  <c r="L257" i="1" a="1"/>
  <c r="L257" i="1" s="1"/>
  <c r="K257" i="1" a="1"/>
  <c r="K257" i="1" s="1"/>
  <c r="F257" i="1" a="1"/>
  <c r="F257" i="1" s="1"/>
  <c r="E257" i="1" a="1"/>
  <c r="E257" i="1" s="1"/>
  <c r="D257" i="1" a="1"/>
  <c r="D257" i="1" s="1"/>
  <c r="C257" i="1" a="1"/>
  <c r="C257" i="1" s="1"/>
  <c r="B257" i="1" a="1"/>
  <c r="B257" i="1" s="1"/>
  <c r="N256" i="1" a="1"/>
  <c r="N256" i="1" s="1"/>
  <c r="M256" i="1" a="1"/>
  <c r="M256" i="1" s="1"/>
  <c r="L256" i="1" a="1"/>
  <c r="L256" i="1" s="1"/>
  <c r="K256" i="1" a="1"/>
  <c r="K256" i="1" s="1"/>
  <c r="F256" i="1" a="1"/>
  <c r="F256" i="1" s="1"/>
  <c r="E256" i="1" a="1"/>
  <c r="E256" i="1" s="1"/>
  <c r="D256" i="1" a="1"/>
  <c r="D256" i="1" s="1"/>
  <c r="C256" i="1" a="1"/>
  <c r="C256" i="1" s="1"/>
  <c r="B256" i="1" a="1"/>
  <c r="B256" i="1" s="1"/>
  <c r="N255" i="1" a="1"/>
  <c r="N255" i="1" s="1"/>
  <c r="M255" i="1" a="1"/>
  <c r="M255" i="1" s="1"/>
  <c r="L255" i="1" a="1"/>
  <c r="L255" i="1" s="1"/>
  <c r="K255" i="1" a="1"/>
  <c r="K255" i="1" s="1"/>
  <c r="F255" i="1" a="1"/>
  <c r="F255" i="1" s="1"/>
  <c r="E255" i="1" a="1"/>
  <c r="E255" i="1" s="1"/>
  <c r="D255" i="1" a="1"/>
  <c r="D255" i="1" s="1"/>
  <c r="C255" i="1" a="1"/>
  <c r="C255" i="1" s="1"/>
  <c r="B255" i="1" a="1"/>
  <c r="B255" i="1" s="1"/>
  <c r="N254" i="1" a="1"/>
  <c r="N254" i="1" s="1"/>
  <c r="M254" i="1" a="1"/>
  <c r="M254" i="1" s="1"/>
  <c r="L254" i="1" a="1"/>
  <c r="L254" i="1" s="1"/>
  <c r="K254" i="1" a="1"/>
  <c r="K254" i="1" s="1"/>
  <c r="F254" i="1" a="1"/>
  <c r="F254" i="1" s="1"/>
  <c r="E254" i="1" a="1"/>
  <c r="E254" i="1" s="1"/>
  <c r="D254" i="1" a="1"/>
  <c r="D254" i="1" s="1"/>
  <c r="C254" i="1" a="1"/>
  <c r="C254" i="1" s="1"/>
  <c r="B254" i="1" a="1"/>
  <c r="B254" i="1" s="1"/>
  <c r="N253" i="1" a="1"/>
  <c r="N253" i="1" s="1"/>
  <c r="M253" i="1" a="1"/>
  <c r="M253" i="1" s="1"/>
  <c r="L253" i="1" a="1"/>
  <c r="L253" i="1" s="1"/>
  <c r="K253" i="1" a="1"/>
  <c r="K253" i="1"/>
  <c r="F253" i="1" a="1"/>
  <c r="F253" i="1" s="1"/>
  <c r="E253" i="1" a="1"/>
  <c r="E253" i="1" s="1"/>
  <c r="D253" i="1" a="1"/>
  <c r="D253" i="1" s="1"/>
  <c r="C253" i="1" a="1"/>
  <c r="C253" i="1"/>
  <c r="B253" i="1" a="1"/>
  <c r="B253" i="1" s="1"/>
  <c r="N252" i="1" a="1"/>
  <c r="N252" i="1" s="1"/>
  <c r="M252" i="1" a="1"/>
  <c r="M252" i="1" s="1"/>
  <c r="L252" i="1" a="1"/>
  <c r="L252" i="1" s="1"/>
  <c r="K252" i="1" a="1"/>
  <c r="K252" i="1" s="1"/>
  <c r="F252" i="1" a="1"/>
  <c r="F252" i="1" s="1"/>
  <c r="E252" i="1" a="1"/>
  <c r="E252" i="1" s="1"/>
  <c r="D252" i="1" a="1"/>
  <c r="D252" i="1" s="1"/>
  <c r="C252" i="1" a="1"/>
  <c r="C252" i="1" s="1"/>
  <c r="B252" i="1" a="1"/>
  <c r="B252" i="1" s="1"/>
  <c r="N251" i="1" a="1"/>
  <c r="N251" i="1" s="1"/>
  <c r="M251" i="1" a="1"/>
  <c r="M251" i="1" s="1"/>
  <c r="L251" i="1" a="1"/>
  <c r="L251" i="1" s="1"/>
  <c r="K251" i="1" a="1"/>
  <c r="K251" i="1" s="1"/>
  <c r="F251" i="1" a="1"/>
  <c r="F251" i="1" s="1"/>
  <c r="E251" i="1" a="1"/>
  <c r="E251" i="1" s="1"/>
  <c r="D251" i="1" a="1"/>
  <c r="D251" i="1" s="1"/>
  <c r="C251" i="1" a="1"/>
  <c r="C251" i="1" s="1"/>
  <c r="B251" i="1" a="1"/>
  <c r="B251" i="1" s="1"/>
  <c r="N250" i="1" a="1"/>
  <c r="N250" i="1" s="1"/>
  <c r="M250" i="1" a="1"/>
  <c r="M250" i="1" s="1"/>
  <c r="L250" i="1" a="1"/>
  <c r="L250" i="1" s="1"/>
  <c r="K250" i="1" a="1"/>
  <c r="K250" i="1" s="1"/>
  <c r="F250" i="1" a="1"/>
  <c r="F250" i="1"/>
  <c r="E250" i="1" a="1"/>
  <c r="E250" i="1" s="1"/>
  <c r="D250" i="1" a="1"/>
  <c r="D250" i="1" s="1"/>
  <c r="C250" i="1" a="1"/>
  <c r="C250" i="1" s="1"/>
  <c r="B250" i="1" a="1"/>
  <c r="B250" i="1" s="1"/>
  <c r="N249" i="1" a="1"/>
  <c r="N249" i="1" s="1"/>
  <c r="M249" i="1" a="1"/>
  <c r="M249" i="1" s="1"/>
  <c r="L249" i="1" a="1"/>
  <c r="L249" i="1" s="1"/>
  <c r="K249" i="1" a="1"/>
  <c r="K249" i="1" s="1"/>
  <c r="F249" i="1" a="1"/>
  <c r="F249" i="1" s="1"/>
  <c r="E249" i="1" a="1"/>
  <c r="E249" i="1" s="1"/>
  <c r="D249" i="1" a="1"/>
  <c r="D249" i="1" s="1"/>
  <c r="C249" i="1" a="1"/>
  <c r="C249" i="1" s="1"/>
  <c r="B249" i="1" a="1"/>
  <c r="B249" i="1" s="1"/>
  <c r="N248" i="1" a="1"/>
  <c r="N248" i="1" s="1"/>
  <c r="M248" i="1" a="1"/>
  <c r="M248" i="1" s="1"/>
  <c r="L248" i="1" a="1"/>
  <c r="L248" i="1" s="1"/>
  <c r="K248" i="1" a="1"/>
  <c r="K248" i="1" s="1"/>
  <c r="F248" i="1" a="1"/>
  <c r="F248" i="1" s="1"/>
  <c r="E248" i="1" a="1"/>
  <c r="E248" i="1" s="1"/>
  <c r="D248" i="1" a="1"/>
  <c r="D248" i="1" s="1"/>
  <c r="C248" i="1" a="1"/>
  <c r="C248" i="1" s="1"/>
  <c r="B248" i="1" a="1"/>
  <c r="B248" i="1" s="1"/>
  <c r="N247" i="1" a="1"/>
  <c r="N247" i="1" s="1"/>
  <c r="M247" i="1" a="1"/>
  <c r="M247" i="1" s="1"/>
  <c r="L247" i="1" a="1"/>
  <c r="L247" i="1" s="1"/>
  <c r="K247" i="1" a="1"/>
  <c r="K247" i="1" s="1"/>
  <c r="F247" i="1" a="1"/>
  <c r="F247" i="1" s="1"/>
  <c r="E247" i="1" a="1"/>
  <c r="E247" i="1" s="1"/>
  <c r="D247" i="1" a="1"/>
  <c r="D247" i="1" s="1"/>
  <c r="C247" i="1" a="1"/>
  <c r="C247" i="1" s="1"/>
  <c r="B247" i="1" a="1"/>
  <c r="B247" i="1" s="1"/>
  <c r="N246" i="1" a="1"/>
  <c r="N246" i="1" s="1"/>
  <c r="M246" i="1" a="1"/>
  <c r="M246" i="1" s="1"/>
  <c r="L246" i="1" a="1"/>
  <c r="L246" i="1" s="1"/>
  <c r="K246" i="1" a="1"/>
  <c r="K246" i="1" s="1"/>
  <c r="F246" i="1" a="1"/>
  <c r="F246" i="1" s="1"/>
  <c r="E246" i="1" a="1"/>
  <c r="E246" i="1" s="1"/>
  <c r="D246" i="1" a="1"/>
  <c r="D246" i="1" s="1"/>
  <c r="C246" i="1" a="1"/>
  <c r="C246" i="1" s="1"/>
  <c r="B246" i="1" a="1"/>
  <c r="B246" i="1" s="1"/>
  <c r="N245" i="1" a="1"/>
  <c r="N245" i="1" s="1"/>
  <c r="M245" i="1" a="1"/>
  <c r="M245" i="1" s="1"/>
  <c r="L245" i="1" a="1"/>
  <c r="L245" i="1" s="1"/>
  <c r="K245" i="1" a="1"/>
  <c r="K245" i="1" s="1"/>
  <c r="F245" i="1" a="1"/>
  <c r="F245" i="1" s="1"/>
  <c r="E245" i="1" a="1"/>
  <c r="E245" i="1" s="1"/>
  <c r="D245" i="1" a="1"/>
  <c r="D245" i="1" s="1"/>
  <c r="C245" i="1" a="1"/>
  <c r="C245" i="1" s="1"/>
  <c r="B245" i="1" a="1"/>
  <c r="B245" i="1" s="1"/>
  <c r="N244" i="1" a="1"/>
  <c r="N244" i="1" s="1"/>
  <c r="M244" i="1" a="1"/>
  <c r="M244" i="1" s="1"/>
  <c r="L244" i="1" a="1"/>
  <c r="L244" i="1" s="1"/>
  <c r="K244" i="1" a="1"/>
  <c r="K244" i="1" s="1"/>
  <c r="F244" i="1" a="1"/>
  <c r="F244" i="1" s="1"/>
  <c r="E244" i="1" a="1"/>
  <c r="E244" i="1" s="1"/>
  <c r="D244" i="1" a="1"/>
  <c r="D244" i="1" s="1"/>
  <c r="C244" i="1" a="1"/>
  <c r="C244" i="1" s="1"/>
  <c r="B244" i="1" a="1"/>
  <c r="B244" i="1" s="1"/>
  <c r="N243" i="1" a="1"/>
  <c r="N243" i="1" s="1"/>
  <c r="M243" i="1" a="1"/>
  <c r="M243" i="1" s="1"/>
  <c r="L243" i="1" a="1"/>
  <c r="L243" i="1" s="1"/>
  <c r="K243" i="1" a="1"/>
  <c r="K243" i="1" s="1"/>
  <c r="F243" i="1" a="1"/>
  <c r="F243" i="1" s="1"/>
  <c r="E243" i="1" a="1"/>
  <c r="E243" i="1" s="1"/>
  <c r="D243" i="1" a="1"/>
  <c r="D243" i="1" s="1"/>
  <c r="C243" i="1" a="1"/>
  <c r="C243" i="1" s="1"/>
  <c r="B243" i="1" a="1"/>
  <c r="B243" i="1" s="1"/>
  <c r="N242" i="1" a="1"/>
  <c r="N242" i="1" s="1"/>
  <c r="M242" i="1" a="1"/>
  <c r="M242" i="1" s="1"/>
  <c r="L242" i="1" a="1"/>
  <c r="L242" i="1" s="1"/>
  <c r="K242" i="1" a="1"/>
  <c r="K242" i="1" s="1"/>
  <c r="F242" i="1" a="1"/>
  <c r="F242" i="1" s="1"/>
  <c r="E242" i="1" a="1"/>
  <c r="E242" i="1" s="1"/>
  <c r="D242" i="1" a="1"/>
  <c r="D242" i="1" s="1"/>
  <c r="C242" i="1" a="1"/>
  <c r="C242" i="1" s="1"/>
  <c r="B242" i="1" a="1"/>
  <c r="B242" i="1" s="1"/>
  <c r="N241" i="1" a="1"/>
  <c r="N241" i="1" s="1"/>
  <c r="M241" i="1" a="1"/>
  <c r="M241" i="1" s="1"/>
  <c r="L241" i="1" a="1"/>
  <c r="L241" i="1" s="1"/>
  <c r="K241" i="1" a="1"/>
  <c r="K241" i="1" s="1"/>
  <c r="F241" i="1" a="1"/>
  <c r="F241" i="1" s="1"/>
  <c r="E241" i="1" a="1"/>
  <c r="E241" i="1" s="1"/>
  <c r="D241" i="1" a="1"/>
  <c r="D241" i="1" s="1"/>
  <c r="C241" i="1" a="1"/>
  <c r="C241" i="1" s="1"/>
  <c r="B241" i="1" a="1"/>
  <c r="B241" i="1" s="1"/>
  <c r="N240" i="1" a="1"/>
  <c r="N240" i="1" s="1"/>
  <c r="M240" i="1" a="1"/>
  <c r="M240" i="1" s="1"/>
  <c r="L240" i="1" a="1"/>
  <c r="L240" i="1" s="1"/>
  <c r="K240" i="1" a="1"/>
  <c r="K240" i="1" s="1"/>
  <c r="F240" i="1" a="1"/>
  <c r="F240" i="1" s="1"/>
  <c r="E240" i="1" a="1"/>
  <c r="E240" i="1" s="1"/>
  <c r="D240" i="1" a="1"/>
  <c r="D240" i="1" s="1"/>
  <c r="C240" i="1" a="1"/>
  <c r="C240" i="1" s="1"/>
  <c r="B240" i="1" a="1"/>
  <c r="B240" i="1" s="1"/>
  <c r="N239" i="1" a="1"/>
  <c r="N239" i="1" s="1"/>
  <c r="M239" i="1" a="1"/>
  <c r="M239" i="1" s="1"/>
  <c r="L239" i="1" a="1"/>
  <c r="L239" i="1" s="1"/>
  <c r="K239" i="1" a="1"/>
  <c r="K239" i="1" s="1"/>
  <c r="F239" i="1" a="1"/>
  <c r="F239" i="1" s="1"/>
  <c r="E239" i="1" a="1"/>
  <c r="E239" i="1" s="1"/>
  <c r="D239" i="1" a="1"/>
  <c r="D239" i="1" s="1"/>
  <c r="C239" i="1" a="1"/>
  <c r="C239" i="1" s="1"/>
  <c r="B239" i="1" a="1"/>
  <c r="B239" i="1" s="1"/>
  <c r="N238" i="1" a="1"/>
  <c r="N238" i="1" s="1"/>
  <c r="M238" i="1" a="1"/>
  <c r="M238" i="1" s="1"/>
  <c r="L238" i="1" a="1"/>
  <c r="L238" i="1" s="1"/>
  <c r="K238" i="1" a="1"/>
  <c r="K238" i="1" s="1"/>
  <c r="F238" i="1" a="1"/>
  <c r="F238" i="1" s="1"/>
  <c r="E238" i="1" a="1"/>
  <c r="E238" i="1" s="1"/>
  <c r="D238" i="1" a="1"/>
  <c r="D238" i="1" s="1"/>
  <c r="C238" i="1" a="1"/>
  <c r="C238" i="1" s="1"/>
  <c r="B238" i="1" a="1"/>
  <c r="B238" i="1" s="1"/>
  <c r="N237" i="1" a="1"/>
  <c r="N237" i="1" s="1"/>
  <c r="M237" i="1" a="1"/>
  <c r="M237" i="1" s="1"/>
  <c r="L237" i="1" a="1"/>
  <c r="L237" i="1" s="1"/>
  <c r="K237" i="1" a="1"/>
  <c r="K237" i="1" s="1"/>
  <c r="F237" i="1" a="1"/>
  <c r="F237" i="1" s="1"/>
  <c r="E237" i="1" a="1"/>
  <c r="E237" i="1" s="1"/>
  <c r="D237" i="1" a="1"/>
  <c r="D237" i="1" s="1"/>
  <c r="C237" i="1" a="1"/>
  <c r="C237" i="1" s="1"/>
  <c r="B237" i="1" a="1"/>
  <c r="B237" i="1" s="1"/>
  <c r="N236" i="1" a="1"/>
  <c r="N236" i="1" s="1"/>
  <c r="M236" i="1" a="1"/>
  <c r="M236" i="1" s="1"/>
  <c r="L236" i="1" a="1"/>
  <c r="L236" i="1" s="1"/>
  <c r="K236" i="1" a="1"/>
  <c r="K236" i="1" s="1"/>
  <c r="F236" i="1" a="1"/>
  <c r="F236" i="1" s="1"/>
  <c r="E236" i="1" a="1"/>
  <c r="E236" i="1" s="1"/>
  <c r="D236" i="1" a="1"/>
  <c r="D236" i="1" s="1"/>
  <c r="C236" i="1" a="1"/>
  <c r="C236" i="1" s="1"/>
  <c r="B236" i="1" a="1"/>
  <c r="B236" i="1" s="1"/>
  <c r="N235" i="1" a="1"/>
  <c r="N235" i="1" s="1"/>
  <c r="M235" i="1" a="1"/>
  <c r="M235" i="1" s="1"/>
  <c r="L235" i="1" a="1"/>
  <c r="L235" i="1" s="1"/>
  <c r="K235" i="1" a="1"/>
  <c r="K235" i="1" s="1"/>
  <c r="F235" i="1" a="1"/>
  <c r="F235" i="1" s="1"/>
  <c r="E235" i="1" a="1"/>
  <c r="E235" i="1" s="1"/>
  <c r="D235" i="1" a="1"/>
  <c r="D235" i="1" s="1"/>
  <c r="C235" i="1" a="1"/>
  <c r="C235" i="1" s="1"/>
  <c r="B235" i="1" a="1"/>
  <c r="B235" i="1" s="1"/>
  <c r="N234" i="1" a="1"/>
  <c r="N234" i="1" s="1"/>
  <c r="M234" i="1" a="1"/>
  <c r="M234" i="1" s="1"/>
  <c r="L234" i="1" a="1"/>
  <c r="L234" i="1" s="1"/>
  <c r="K234" i="1" a="1"/>
  <c r="K234" i="1" s="1"/>
  <c r="F234" i="1" a="1"/>
  <c r="F234" i="1" s="1"/>
  <c r="E234" i="1" a="1"/>
  <c r="E234" i="1" s="1"/>
  <c r="D234" i="1" a="1"/>
  <c r="D234" i="1" s="1"/>
  <c r="C234" i="1" a="1"/>
  <c r="C234" i="1" s="1"/>
  <c r="B234" i="1" a="1"/>
  <c r="B234" i="1" s="1"/>
  <c r="N233" i="1" a="1"/>
  <c r="N233" i="1" s="1"/>
  <c r="M233" i="1" a="1"/>
  <c r="M233" i="1" s="1"/>
  <c r="L233" i="1" a="1"/>
  <c r="L233" i="1" s="1"/>
  <c r="K233" i="1" a="1"/>
  <c r="K233" i="1" s="1"/>
  <c r="F233" i="1" a="1"/>
  <c r="F233" i="1" s="1"/>
  <c r="E233" i="1" a="1"/>
  <c r="E233" i="1" s="1"/>
  <c r="D233" i="1" a="1"/>
  <c r="D233" i="1" s="1"/>
  <c r="C233" i="1" a="1"/>
  <c r="C233" i="1" s="1"/>
  <c r="B233" i="1" a="1"/>
  <c r="B233" i="1" s="1"/>
  <c r="N232" i="1" a="1"/>
  <c r="N232" i="1" s="1"/>
  <c r="M232" i="1" a="1"/>
  <c r="M232" i="1" s="1"/>
  <c r="L232" i="1" a="1"/>
  <c r="L232" i="1" s="1"/>
  <c r="K232" i="1" a="1"/>
  <c r="K232" i="1" s="1"/>
  <c r="F232" i="1" a="1"/>
  <c r="F232" i="1" s="1"/>
  <c r="E232" i="1" a="1"/>
  <c r="E232" i="1" s="1"/>
  <c r="D232" i="1" a="1"/>
  <c r="D232" i="1" s="1"/>
  <c r="C232" i="1" a="1"/>
  <c r="C232" i="1" s="1"/>
  <c r="B232" i="1" a="1"/>
  <c r="B232" i="1" s="1"/>
  <c r="N231" i="1" a="1"/>
  <c r="N231" i="1" s="1"/>
  <c r="M231" i="1" a="1"/>
  <c r="M231" i="1" s="1"/>
  <c r="L231" i="1" a="1"/>
  <c r="L231" i="1" s="1"/>
  <c r="K231" i="1" a="1"/>
  <c r="K231" i="1" s="1"/>
  <c r="F231" i="1" a="1"/>
  <c r="F231" i="1" s="1"/>
  <c r="E231" i="1" a="1"/>
  <c r="E231" i="1" s="1"/>
  <c r="D231" i="1" a="1"/>
  <c r="D231" i="1" s="1"/>
  <c r="C231" i="1" a="1"/>
  <c r="C231" i="1" s="1"/>
  <c r="B231" i="1" a="1"/>
  <c r="B231" i="1" s="1"/>
  <c r="N230" i="1" a="1"/>
  <c r="N230" i="1" s="1"/>
  <c r="M230" i="1" a="1"/>
  <c r="M230" i="1" s="1"/>
  <c r="L230" i="1" a="1"/>
  <c r="L230" i="1" s="1"/>
  <c r="K230" i="1" a="1"/>
  <c r="K230" i="1" s="1"/>
  <c r="F230" i="1" a="1"/>
  <c r="F230" i="1" s="1"/>
  <c r="E230" i="1" a="1"/>
  <c r="E230" i="1" s="1"/>
  <c r="D230" i="1" a="1"/>
  <c r="D230" i="1" s="1"/>
  <c r="C230" i="1" a="1"/>
  <c r="C230" i="1" s="1"/>
  <c r="B230" i="1" a="1"/>
  <c r="B230" i="1" s="1"/>
  <c r="N229" i="1" a="1"/>
  <c r="N229" i="1" s="1"/>
  <c r="M229" i="1" a="1"/>
  <c r="M229" i="1" s="1"/>
  <c r="L229" i="1" a="1"/>
  <c r="L229" i="1" s="1"/>
  <c r="K229" i="1" a="1"/>
  <c r="K229" i="1" s="1"/>
  <c r="F229" i="1" a="1"/>
  <c r="F229" i="1" s="1"/>
  <c r="E229" i="1" a="1"/>
  <c r="E229" i="1" s="1"/>
  <c r="D229" i="1" a="1"/>
  <c r="D229" i="1" s="1"/>
  <c r="C229" i="1" a="1"/>
  <c r="C229" i="1" s="1"/>
  <c r="B229" i="1" a="1"/>
  <c r="B229" i="1" s="1"/>
  <c r="N228" i="1" a="1"/>
  <c r="N228" i="1" s="1"/>
  <c r="M228" i="1" a="1"/>
  <c r="M228" i="1" s="1"/>
  <c r="L228" i="1" a="1"/>
  <c r="L228" i="1" s="1"/>
  <c r="K228" i="1" a="1"/>
  <c r="K228" i="1" s="1"/>
  <c r="F228" i="1" a="1"/>
  <c r="F228" i="1" s="1"/>
  <c r="E228" i="1" a="1"/>
  <c r="E228" i="1" s="1"/>
  <c r="D228" i="1" a="1"/>
  <c r="D228" i="1" s="1"/>
  <c r="C228" i="1" a="1"/>
  <c r="C228" i="1" s="1"/>
  <c r="B228" i="1" a="1"/>
  <c r="B228" i="1" s="1"/>
  <c r="N227" i="1" a="1"/>
  <c r="N227" i="1" s="1"/>
  <c r="M227" i="1" a="1"/>
  <c r="M227" i="1" s="1"/>
  <c r="L227" i="1" a="1"/>
  <c r="L227" i="1" s="1"/>
  <c r="K227" i="1" a="1"/>
  <c r="K227" i="1" s="1"/>
  <c r="F227" i="1" a="1"/>
  <c r="F227" i="1" s="1"/>
  <c r="E227" i="1" a="1"/>
  <c r="E227" i="1" s="1"/>
  <c r="D227" i="1" a="1"/>
  <c r="D227" i="1" s="1"/>
  <c r="C227" i="1" a="1"/>
  <c r="C227" i="1" s="1"/>
  <c r="B227" i="1" a="1"/>
  <c r="B227" i="1" s="1"/>
  <c r="N226" i="1" a="1"/>
  <c r="N226" i="1" s="1"/>
  <c r="M226" i="1" a="1"/>
  <c r="M226" i="1" s="1"/>
  <c r="L226" i="1" a="1"/>
  <c r="L226" i="1" s="1"/>
  <c r="K226" i="1" a="1"/>
  <c r="K226" i="1" s="1"/>
  <c r="F226" i="1" a="1"/>
  <c r="F226" i="1" s="1"/>
  <c r="E226" i="1" a="1"/>
  <c r="E226" i="1" s="1"/>
  <c r="D226" i="1" a="1"/>
  <c r="D226" i="1" s="1"/>
  <c r="C226" i="1" a="1"/>
  <c r="C226" i="1" s="1"/>
  <c r="B226" i="1" a="1"/>
  <c r="B226" i="1" s="1"/>
  <c r="N225" i="1" a="1"/>
  <c r="N225" i="1" s="1"/>
  <c r="M225" i="1" a="1"/>
  <c r="M225" i="1" s="1"/>
  <c r="L225" i="1" a="1"/>
  <c r="L225" i="1" s="1"/>
  <c r="K225" i="1" a="1"/>
  <c r="K225" i="1" s="1"/>
  <c r="F225" i="1" a="1"/>
  <c r="F225" i="1" s="1"/>
  <c r="E225" i="1" a="1"/>
  <c r="E225" i="1" s="1"/>
  <c r="D225" i="1" a="1"/>
  <c r="D225" i="1" s="1"/>
  <c r="C225" i="1" a="1"/>
  <c r="C225" i="1" s="1"/>
  <c r="B225" i="1" a="1"/>
  <c r="B225" i="1" s="1"/>
  <c r="N224" i="1" a="1"/>
  <c r="N224" i="1" s="1"/>
  <c r="M224" i="1" a="1"/>
  <c r="M224" i="1" s="1"/>
  <c r="L224" i="1" a="1"/>
  <c r="L224" i="1" s="1"/>
  <c r="K224" i="1" a="1"/>
  <c r="K224" i="1" s="1"/>
  <c r="F224" i="1" a="1"/>
  <c r="F224" i="1" s="1"/>
  <c r="E224" i="1" a="1"/>
  <c r="E224" i="1" s="1"/>
  <c r="D224" i="1" a="1"/>
  <c r="D224" i="1" s="1"/>
  <c r="C224" i="1" a="1"/>
  <c r="C224" i="1" s="1"/>
  <c r="B224" i="1" a="1"/>
  <c r="B224" i="1" s="1"/>
  <c r="N223" i="1" a="1"/>
  <c r="N223" i="1" s="1"/>
  <c r="M223" i="1" a="1"/>
  <c r="M223" i="1" s="1"/>
  <c r="L223" i="1" a="1"/>
  <c r="L223" i="1" s="1"/>
  <c r="K223" i="1" a="1"/>
  <c r="K223" i="1" s="1"/>
  <c r="F223" i="1" a="1"/>
  <c r="F223" i="1" s="1"/>
  <c r="E223" i="1" a="1"/>
  <c r="E223" i="1" s="1"/>
  <c r="D223" i="1" a="1"/>
  <c r="D223" i="1" s="1"/>
  <c r="C223" i="1" a="1"/>
  <c r="C223" i="1" s="1"/>
  <c r="B223" i="1" a="1"/>
  <c r="B223" i="1" s="1"/>
  <c r="N222" i="1" a="1"/>
  <c r="N222" i="1" s="1"/>
  <c r="M222" i="1" a="1"/>
  <c r="M222" i="1" s="1"/>
  <c r="L222" i="1" a="1"/>
  <c r="L222" i="1" s="1"/>
  <c r="K222" i="1" a="1"/>
  <c r="K222" i="1" s="1"/>
  <c r="F222" i="1" a="1"/>
  <c r="F222" i="1" s="1"/>
  <c r="E222" i="1" a="1"/>
  <c r="E222" i="1" s="1"/>
  <c r="D222" i="1" a="1"/>
  <c r="D222" i="1" s="1"/>
  <c r="C222" i="1" a="1"/>
  <c r="C222" i="1" s="1"/>
  <c r="B222" i="1" a="1"/>
  <c r="B222" i="1" s="1"/>
  <c r="N221" i="1" a="1"/>
  <c r="N221" i="1" s="1"/>
  <c r="M221" i="1" a="1"/>
  <c r="M221" i="1" s="1"/>
  <c r="L221" i="1" a="1"/>
  <c r="L221" i="1" s="1"/>
  <c r="K221" i="1" a="1"/>
  <c r="K221" i="1" s="1"/>
  <c r="F221" i="1" a="1"/>
  <c r="F221" i="1" s="1"/>
  <c r="E221" i="1" a="1"/>
  <c r="E221" i="1" s="1"/>
  <c r="D221" i="1" a="1"/>
  <c r="D221" i="1" s="1"/>
  <c r="C221" i="1" a="1"/>
  <c r="C221" i="1" s="1"/>
  <c r="B221" i="1" a="1"/>
  <c r="B221" i="1" s="1"/>
  <c r="N220" i="1" a="1"/>
  <c r="N220" i="1" s="1"/>
  <c r="M220" i="1" a="1"/>
  <c r="M220" i="1" s="1"/>
  <c r="L220" i="1" a="1"/>
  <c r="L220" i="1" s="1"/>
  <c r="K220" i="1" a="1"/>
  <c r="K220" i="1" s="1"/>
  <c r="F220" i="1" a="1"/>
  <c r="F220" i="1" s="1"/>
  <c r="E220" i="1" a="1"/>
  <c r="E220" i="1" s="1"/>
  <c r="D220" i="1" a="1"/>
  <c r="D220" i="1" s="1"/>
  <c r="C220" i="1" a="1"/>
  <c r="C220" i="1" s="1"/>
  <c r="B220" i="1" a="1"/>
  <c r="B220" i="1" s="1"/>
  <c r="N219" i="1" a="1"/>
  <c r="N219" i="1" s="1"/>
  <c r="M219" i="1" a="1"/>
  <c r="M219" i="1" s="1"/>
  <c r="L219" i="1" a="1"/>
  <c r="L219" i="1" s="1"/>
  <c r="K219" i="1" a="1"/>
  <c r="K219" i="1" s="1"/>
  <c r="F219" i="1" a="1"/>
  <c r="F219" i="1" s="1"/>
  <c r="E219" i="1" a="1"/>
  <c r="E219" i="1" s="1"/>
  <c r="D219" i="1" a="1"/>
  <c r="D219" i="1" s="1"/>
  <c r="C219" i="1" a="1"/>
  <c r="C219" i="1" s="1"/>
  <c r="B219" i="1" a="1"/>
  <c r="B219" i="1" s="1"/>
  <c r="N218" i="1" a="1"/>
  <c r="N218" i="1" s="1"/>
  <c r="M218" i="1" a="1"/>
  <c r="M218" i="1" s="1"/>
  <c r="L218" i="1" a="1"/>
  <c r="L218" i="1" s="1"/>
  <c r="K218" i="1" a="1"/>
  <c r="K218" i="1" s="1"/>
  <c r="F218" i="1" a="1"/>
  <c r="F218" i="1" s="1"/>
  <c r="E218" i="1" a="1"/>
  <c r="E218" i="1" s="1"/>
  <c r="D218" i="1" a="1"/>
  <c r="D218" i="1" s="1"/>
  <c r="C218" i="1" a="1"/>
  <c r="C218" i="1" s="1"/>
  <c r="B218" i="1" a="1"/>
  <c r="B218" i="1" s="1"/>
  <c r="N217" i="1" a="1"/>
  <c r="N217" i="1" s="1"/>
  <c r="M217" i="1" a="1"/>
  <c r="M217" i="1" s="1"/>
  <c r="L217" i="1" a="1"/>
  <c r="L217" i="1" s="1"/>
  <c r="K217" i="1" a="1"/>
  <c r="K217" i="1" s="1"/>
  <c r="F217" i="1" a="1"/>
  <c r="F217" i="1" s="1"/>
  <c r="E217" i="1" a="1"/>
  <c r="E217" i="1" s="1"/>
  <c r="D217" i="1" a="1"/>
  <c r="D217" i="1" s="1"/>
  <c r="C217" i="1" a="1"/>
  <c r="C217" i="1" s="1"/>
  <c r="B217" i="1" a="1"/>
  <c r="B217" i="1" s="1"/>
  <c r="N216" i="1" a="1"/>
  <c r="N216" i="1" s="1"/>
  <c r="M216" i="1" a="1"/>
  <c r="M216" i="1" s="1"/>
  <c r="L216" i="1" a="1"/>
  <c r="L216" i="1" s="1"/>
  <c r="K216" i="1" a="1"/>
  <c r="K216" i="1" s="1"/>
  <c r="F216" i="1" a="1"/>
  <c r="F216" i="1" s="1"/>
  <c r="E216" i="1" a="1"/>
  <c r="E216" i="1" s="1"/>
  <c r="D216" i="1" a="1"/>
  <c r="D216" i="1" s="1"/>
  <c r="C216" i="1" a="1"/>
  <c r="C216" i="1" s="1"/>
  <c r="B216" i="1" a="1"/>
  <c r="B216" i="1" s="1"/>
  <c r="N215" i="1" a="1"/>
  <c r="N215" i="1" s="1"/>
  <c r="M215" i="1" a="1"/>
  <c r="M215" i="1" s="1"/>
  <c r="L215" i="1" a="1"/>
  <c r="L215" i="1" s="1"/>
  <c r="K215" i="1" a="1"/>
  <c r="K215" i="1" s="1"/>
  <c r="F215" i="1" a="1"/>
  <c r="F215" i="1" s="1"/>
  <c r="E215" i="1" a="1"/>
  <c r="E215" i="1" s="1"/>
  <c r="D215" i="1" a="1"/>
  <c r="D215" i="1" s="1"/>
  <c r="C215" i="1" a="1"/>
  <c r="C215" i="1" s="1"/>
  <c r="B215" i="1" a="1"/>
  <c r="B215" i="1" s="1"/>
  <c r="N214" i="1" a="1"/>
  <c r="N214" i="1" s="1"/>
  <c r="M214" i="1" a="1"/>
  <c r="M214" i="1" s="1"/>
  <c r="L214" i="1" a="1"/>
  <c r="L214" i="1" s="1"/>
  <c r="K214" i="1" a="1"/>
  <c r="K214" i="1" s="1"/>
  <c r="F214" i="1" a="1"/>
  <c r="F214" i="1" s="1"/>
  <c r="E214" i="1" a="1"/>
  <c r="E214" i="1" s="1"/>
  <c r="D214" i="1" a="1"/>
  <c r="D214" i="1" s="1"/>
  <c r="C214" i="1" a="1"/>
  <c r="C214" i="1" s="1"/>
  <c r="B214" i="1" a="1"/>
  <c r="B214" i="1" s="1"/>
  <c r="N213" i="1" a="1"/>
  <c r="N213" i="1" s="1"/>
  <c r="M213" i="1" a="1"/>
  <c r="M213" i="1" s="1"/>
  <c r="L213" i="1" a="1"/>
  <c r="L213" i="1" s="1"/>
  <c r="K213" i="1" a="1"/>
  <c r="K213" i="1" s="1"/>
  <c r="F213" i="1" a="1"/>
  <c r="F213" i="1" s="1"/>
  <c r="E213" i="1" a="1"/>
  <c r="E213" i="1" s="1"/>
  <c r="D213" i="1" a="1"/>
  <c r="D213" i="1" s="1"/>
  <c r="C213" i="1" a="1"/>
  <c r="C213" i="1" s="1"/>
  <c r="B213" i="1" a="1"/>
  <c r="B213" i="1" s="1"/>
  <c r="N212" i="1" a="1"/>
  <c r="N212" i="1" s="1"/>
  <c r="M212" i="1" a="1"/>
  <c r="M212" i="1" s="1"/>
  <c r="L212" i="1" a="1"/>
  <c r="L212" i="1" s="1"/>
  <c r="K212" i="1" a="1"/>
  <c r="K212" i="1" s="1"/>
  <c r="F212" i="1" a="1"/>
  <c r="F212" i="1" s="1"/>
  <c r="E212" i="1" a="1"/>
  <c r="E212" i="1" s="1"/>
  <c r="D212" i="1" a="1"/>
  <c r="D212" i="1" s="1"/>
  <c r="C212" i="1" a="1"/>
  <c r="C212" i="1" s="1"/>
  <c r="B212" i="1" a="1"/>
  <c r="B212" i="1" s="1"/>
  <c r="N211" i="1" a="1"/>
  <c r="N211" i="1" s="1"/>
  <c r="M211" i="1" a="1"/>
  <c r="M211" i="1" s="1"/>
  <c r="L211" i="1" a="1"/>
  <c r="L211" i="1" s="1"/>
  <c r="K211" i="1" a="1"/>
  <c r="K211" i="1" s="1"/>
  <c r="F211" i="1" a="1"/>
  <c r="F211" i="1" s="1"/>
  <c r="E211" i="1" a="1"/>
  <c r="E211" i="1" s="1"/>
  <c r="D211" i="1" a="1"/>
  <c r="D211" i="1" s="1"/>
  <c r="C211" i="1" a="1"/>
  <c r="C211" i="1" s="1"/>
  <c r="B211" i="1" a="1"/>
  <c r="B211" i="1" s="1"/>
  <c r="N210" i="1" a="1"/>
  <c r="N210" i="1" s="1"/>
  <c r="M210" i="1" a="1"/>
  <c r="M210" i="1" s="1"/>
  <c r="L210" i="1" a="1"/>
  <c r="L210" i="1" s="1"/>
  <c r="K210" i="1" a="1"/>
  <c r="K210" i="1" s="1"/>
  <c r="F210" i="1" a="1"/>
  <c r="F210" i="1" s="1"/>
  <c r="E210" i="1" a="1"/>
  <c r="E210" i="1" s="1"/>
  <c r="D210" i="1" a="1"/>
  <c r="D210" i="1" s="1"/>
  <c r="C210" i="1" a="1"/>
  <c r="C210" i="1" s="1"/>
  <c r="B210" i="1" a="1"/>
  <c r="B210" i="1" s="1"/>
  <c r="N209" i="1" a="1"/>
  <c r="N209" i="1" s="1"/>
  <c r="M209" i="1" a="1"/>
  <c r="M209" i="1" s="1"/>
  <c r="L209" i="1" a="1"/>
  <c r="L209" i="1" s="1"/>
  <c r="K209" i="1" a="1"/>
  <c r="K209" i="1" s="1"/>
  <c r="F209" i="1" a="1"/>
  <c r="F209" i="1" s="1"/>
  <c r="E209" i="1" a="1"/>
  <c r="E209" i="1" s="1"/>
  <c r="D209" i="1" a="1"/>
  <c r="D209" i="1" s="1"/>
  <c r="C209" i="1" a="1"/>
  <c r="C209" i="1" s="1"/>
  <c r="B209" i="1" a="1"/>
  <c r="B209" i="1" s="1"/>
  <c r="N208" i="1" a="1"/>
  <c r="N208" i="1" s="1"/>
  <c r="M208" i="1" a="1"/>
  <c r="M208" i="1" s="1"/>
  <c r="L208" i="1" a="1"/>
  <c r="L208" i="1" s="1"/>
  <c r="K208" i="1" a="1"/>
  <c r="K208" i="1" s="1"/>
  <c r="F208" i="1" a="1"/>
  <c r="F208" i="1" s="1"/>
  <c r="E208" i="1" a="1"/>
  <c r="E208" i="1" s="1"/>
  <c r="D208" i="1" a="1"/>
  <c r="D208" i="1" s="1"/>
  <c r="C208" i="1" a="1"/>
  <c r="C208" i="1" s="1"/>
  <c r="B208" i="1" a="1"/>
  <c r="B208" i="1" s="1"/>
  <c r="N207" i="1" a="1"/>
  <c r="N207" i="1" s="1"/>
  <c r="M207" i="1" a="1"/>
  <c r="M207" i="1" s="1"/>
  <c r="L207" i="1" a="1"/>
  <c r="L207" i="1" s="1"/>
  <c r="K207" i="1" a="1"/>
  <c r="K207" i="1" s="1"/>
  <c r="F207" i="1" a="1"/>
  <c r="F207" i="1" s="1"/>
  <c r="E207" i="1" a="1"/>
  <c r="E207" i="1" s="1"/>
  <c r="D207" i="1" a="1"/>
  <c r="D207" i="1" s="1"/>
  <c r="C207" i="1" a="1"/>
  <c r="C207" i="1" s="1"/>
  <c r="B207" i="1" a="1"/>
  <c r="B207" i="1" s="1"/>
  <c r="N206" i="1" a="1"/>
  <c r="N206" i="1" s="1"/>
  <c r="M206" i="1" a="1"/>
  <c r="M206" i="1" s="1"/>
  <c r="L206" i="1" a="1"/>
  <c r="L206" i="1" s="1"/>
  <c r="K206" i="1" a="1"/>
  <c r="K206" i="1" s="1"/>
  <c r="F206" i="1" a="1"/>
  <c r="F206" i="1" s="1"/>
  <c r="E206" i="1" a="1"/>
  <c r="E206" i="1" s="1"/>
  <c r="D206" i="1" a="1"/>
  <c r="D206" i="1" s="1"/>
  <c r="C206" i="1" a="1"/>
  <c r="C206" i="1" s="1"/>
  <c r="B206" i="1" a="1"/>
  <c r="B206" i="1" s="1"/>
  <c r="N205" i="1" a="1"/>
  <c r="N205" i="1" s="1"/>
  <c r="M205" i="1" a="1"/>
  <c r="M205" i="1" s="1"/>
  <c r="L205" i="1" a="1"/>
  <c r="L205" i="1" s="1"/>
  <c r="K205" i="1" a="1"/>
  <c r="K205" i="1" s="1"/>
  <c r="F205" i="1" a="1"/>
  <c r="F205" i="1" s="1"/>
  <c r="E205" i="1" a="1"/>
  <c r="E205" i="1" s="1"/>
  <c r="D205" i="1" a="1"/>
  <c r="D205" i="1" s="1"/>
  <c r="C205" i="1" a="1"/>
  <c r="C205" i="1" s="1"/>
  <c r="B205" i="1" a="1"/>
  <c r="B205" i="1" s="1"/>
  <c r="N204" i="1" a="1"/>
  <c r="N204" i="1" s="1"/>
  <c r="M204" i="1" a="1"/>
  <c r="M204" i="1" s="1"/>
  <c r="L204" i="1" a="1"/>
  <c r="L204" i="1" s="1"/>
  <c r="K204" i="1" a="1"/>
  <c r="K204" i="1" s="1"/>
  <c r="F204" i="1" a="1"/>
  <c r="F204" i="1" s="1"/>
  <c r="E204" i="1" a="1"/>
  <c r="E204" i="1" s="1"/>
  <c r="D204" i="1" a="1"/>
  <c r="D204" i="1" s="1"/>
  <c r="C204" i="1" a="1"/>
  <c r="C204" i="1" s="1"/>
  <c r="B204" i="1" a="1"/>
  <c r="B204" i="1" s="1"/>
  <c r="N203" i="1" a="1"/>
  <c r="N203" i="1" s="1"/>
  <c r="M203" i="1" a="1"/>
  <c r="M203" i="1" s="1"/>
  <c r="L203" i="1" a="1"/>
  <c r="L203" i="1" s="1"/>
  <c r="K203" i="1" a="1"/>
  <c r="K203" i="1" s="1"/>
  <c r="F203" i="1" a="1"/>
  <c r="F203" i="1" s="1"/>
  <c r="E203" i="1" a="1"/>
  <c r="E203" i="1" s="1"/>
  <c r="D203" i="1" a="1"/>
  <c r="D203" i="1" s="1"/>
  <c r="C203" i="1" a="1"/>
  <c r="C203" i="1" s="1"/>
  <c r="B203" i="1" a="1"/>
  <c r="B203" i="1" s="1"/>
  <c r="N202" i="1" a="1"/>
  <c r="N202" i="1" s="1"/>
  <c r="M202" i="1" a="1"/>
  <c r="M202" i="1" s="1"/>
  <c r="L202" i="1" a="1"/>
  <c r="L202" i="1" s="1"/>
  <c r="K202" i="1" a="1"/>
  <c r="K202" i="1" s="1"/>
  <c r="F202" i="1" a="1"/>
  <c r="F202" i="1" s="1"/>
  <c r="E202" i="1" a="1"/>
  <c r="E202" i="1" s="1"/>
  <c r="D202" i="1" a="1"/>
  <c r="D202" i="1" s="1"/>
  <c r="C202" i="1" a="1"/>
  <c r="C202" i="1" s="1"/>
  <c r="B202" i="1" a="1"/>
  <c r="B202" i="1" s="1"/>
  <c r="N201" i="1" a="1"/>
  <c r="N201" i="1" s="1"/>
  <c r="M201" i="1" a="1"/>
  <c r="M201" i="1" s="1"/>
  <c r="L201" i="1" a="1"/>
  <c r="L201" i="1" s="1"/>
  <c r="K201" i="1" a="1"/>
  <c r="K201" i="1" s="1"/>
  <c r="F201" i="1" a="1"/>
  <c r="F201" i="1" s="1"/>
  <c r="E201" i="1" a="1"/>
  <c r="E201" i="1" s="1"/>
  <c r="D201" i="1" a="1"/>
  <c r="D201" i="1" s="1"/>
  <c r="C201" i="1" a="1"/>
  <c r="C201" i="1" s="1"/>
  <c r="B201" i="1" a="1"/>
  <c r="B201" i="1" s="1"/>
  <c r="N200" i="1" a="1"/>
  <c r="N200" i="1" s="1"/>
  <c r="M200" i="1" a="1"/>
  <c r="M200" i="1" s="1"/>
  <c r="L200" i="1" a="1"/>
  <c r="L200" i="1" s="1"/>
  <c r="K200" i="1" a="1"/>
  <c r="K200" i="1" s="1"/>
  <c r="F200" i="1" a="1"/>
  <c r="F200" i="1" s="1"/>
  <c r="E200" i="1" a="1"/>
  <c r="E200" i="1" s="1"/>
  <c r="D200" i="1" a="1"/>
  <c r="D200" i="1" s="1"/>
  <c r="C200" i="1" a="1"/>
  <c r="C200" i="1" s="1"/>
  <c r="B200" i="1" a="1"/>
  <c r="B200" i="1" s="1"/>
  <c r="N199" i="1" a="1"/>
  <c r="N199" i="1" s="1"/>
  <c r="M199" i="1" a="1"/>
  <c r="M199" i="1" s="1"/>
  <c r="L199" i="1" a="1"/>
  <c r="L199" i="1" s="1"/>
  <c r="K199" i="1" a="1"/>
  <c r="K199" i="1" s="1"/>
  <c r="F199" i="1" a="1"/>
  <c r="F199" i="1" s="1"/>
  <c r="E199" i="1" a="1"/>
  <c r="E199" i="1" s="1"/>
  <c r="D199" i="1" a="1"/>
  <c r="D199" i="1" s="1"/>
  <c r="C199" i="1" a="1"/>
  <c r="C199" i="1" s="1"/>
  <c r="B199" i="1" a="1"/>
  <c r="B199" i="1" s="1"/>
  <c r="N198" i="1" a="1"/>
  <c r="N198" i="1" s="1"/>
  <c r="M198" i="1" a="1"/>
  <c r="M198" i="1" s="1"/>
  <c r="L198" i="1" a="1"/>
  <c r="L198" i="1" s="1"/>
  <c r="K198" i="1" a="1"/>
  <c r="K198" i="1" s="1"/>
  <c r="F198" i="1" a="1"/>
  <c r="F198" i="1" s="1"/>
  <c r="E198" i="1" a="1"/>
  <c r="E198" i="1" s="1"/>
  <c r="D198" i="1" a="1"/>
  <c r="D198" i="1" s="1"/>
  <c r="C198" i="1" a="1"/>
  <c r="C198" i="1" s="1"/>
  <c r="B198" i="1" a="1"/>
  <c r="B198" i="1" s="1"/>
  <c r="N197" i="1" a="1"/>
  <c r="N197" i="1" s="1"/>
  <c r="M197" i="1" a="1"/>
  <c r="M197" i="1" s="1"/>
  <c r="L197" i="1" a="1"/>
  <c r="L197" i="1" s="1"/>
  <c r="K197" i="1" a="1"/>
  <c r="K197" i="1" s="1"/>
  <c r="F197" i="1" a="1"/>
  <c r="F197" i="1" s="1"/>
  <c r="E197" i="1" a="1"/>
  <c r="E197" i="1" s="1"/>
  <c r="D197" i="1" a="1"/>
  <c r="D197" i="1" s="1"/>
  <c r="C197" i="1" a="1"/>
  <c r="C197" i="1" s="1"/>
  <c r="B197" i="1" a="1"/>
  <c r="B197" i="1" s="1"/>
  <c r="N196" i="1" a="1"/>
  <c r="N196" i="1" s="1"/>
  <c r="M196" i="1" a="1"/>
  <c r="M196" i="1" s="1"/>
  <c r="L196" i="1" a="1"/>
  <c r="L196" i="1" s="1"/>
  <c r="K196" i="1" a="1"/>
  <c r="K196" i="1" s="1"/>
  <c r="F196" i="1" a="1"/>
  <c r="F196" i="1" s="1"/>
  <c r="E196" i="1" a="1"/>
  <c r="E196" i="1" s="1"/>
  <c r="D196" i="1" a="1"/>
  <c r="D196" i="1" s="1"/>
  <c r="C196" i="1" a="1"/>
  <c r="C196" i="1" s="1"/>
  <c r="B196" i="1" a="1"/>
  <c r="B196" i="1" s="1"/>
  <c r="N195" i="1" a="1"/>
  <c r="N195" i="1" s="1"/>
  <c r="M195" i="1" a="1"/>
  <c r="M195" i="1" s="1"/>
  <c r="L195" i="1" a="1"/>
  <c r="L195" i="1" s="1"/>
  <c r="K195" i="1" a="1"/>
  <c r="K195" i="1" s="1"/>
  <c r="F195" i="1" a="1"/>
  <c r="F195" i="1" s="1"/>
  <c r="E195" i="1" a="1"/>
  <c r="E195" i="1" s="1"/>
  <c r="D195" i="1" a="1"/>
  <c r="D195" i="1" s="1"/>
  <c r="C195" i="1" a="1"/>
  <c r="C195" i="1" s="1"/>
  <c r="B195" i="1" a="1"/>
  <c r="B195" i="1" s="1"/>
  <c r="N194" i="1" a="1"/>
  <c r="N194" i="1" s="1"/>
  <c r="M194" i="1" a="1"/>
  <c r="M194" i="1" s="1"/>
  <c r="L194" i="1" a="1"/>
  <c r="L194" i="1" s="1"/>
  <c r="K194" i="1" a="1"/>
  <c r="K194" i="1" s="1"/>
  <c r="F194" i="1" a="1"/>
  <c r="F194" i="1" s="1"/>
  <c r="E194" i="1" a="1"/>
  <c r="E194" i="1" s="1"/>
  <c r="D194" i="1" a="1"/>
  <c r="D194" i="1" s="1"/>
  <c r="C194" i="1" a="1"/>
  <c r="C194" i="1" s="1"/>
  <c r="B194" i="1" a="1"/>
  <c r="B194" i="1" s="1"/>
  <c r="N193" i="1" a="1"/>
  <c r="N193" i="1" s="1"/>
  <c r="M193" i="1" a="1"/>
  <c r="M193" i="1" s="1"/>
  <c r="L193" i="1" a="1"/>
  <c r="L193" i="1" s="1"/>
  <c r="K193" i="1" a="1"/>
  <c r="K193" i="1" s="1"/>
  <c r="F193" i="1" a="1"/>
  <c r="F193" i="1" s="1"/>
  <c r="E193" i="1" a="1"/>
  <c r="E193" i="1" s="1"/>
  <c r="D193" i="1" a="1"/>
  <c r="D193" i="1" s="1"/>
  <c r="C193" i="1" a="1"/>
  <c r="C193" i="1" s="1"/>
  <c r="B193" i="1" a="1"/>
  <c r="B193" i="1" s="1"/>
  <c r="N192" i="1" a="1"/>
  <c r="N192" i="1" s="1"/>
  <c r="M192" i="1" a="1"/>
  <c r="M192" i="1" s="1"/>
  <c r="L192" i="1" a="1"/>
  <c r="L192" i="1" s="1"/>
  <c r="K192" i="1" a="1"/>
  <c r="K192" i="1" s="1"/>
  <c r="F192" i="1" a="1"/>
  <c r="F192" i="1" s="1"/>
  <c r="E192" i="1" a="1"/>
  <c r="E192" i="1" s="1"/>
  <c r="D192" i="1" a="1"/>
  <c r="D192" i="1" s="1"/>
  <c r="C192" i="1" a="1"/>
  <c r="C192" i="1" s="1"/>
  <c r="B192" i="1" a="1"/>
  <c r="B192" i="1" s="1"/>
  <c r="N191" i="1" a="1"/>
  <c r="N191" i="1" s="1"/>
  <c r="M191" i="1" a="1"/>
  <c r="M191" i="1" s="1"/>
  <c r="L191" i="1" a="1"/>
  <c r="L191" i="1" s="1"/>
  <c r="K191" i="1" a="1"/>
  <c r="K191" i="1" s="1"/>
  <c r="F191" i="1" a="1"/>
  <c r="F191" i="1" s="1"/>
  <c r="E191" i="1" a="1"/>
  <c r="E191" i="1" s="1"/>
  <c r="D191" i="1" a="1"/>
  <c r="D191" i="1" s="1"/>
  <c r="C191" i="1" a="1"/>
  <c r="C191" i="1" s="1"/>
  <c r="B191" i="1" a="1"/>
  <c r="B191" i="1" s="1"/>
  <c r="N190" i="1" a="1"/>
  <c r="N190" i="1" s="1"/>
  <c r="M190" i="1" a="1"/>
  <c r="M190" i="1" s="1"/>
  <c r="L190" i="1" a="1"/>
  <c r="L190" i="1" s="1"/>
  <c r="K190" i="1" a="1"/>
  <c r="K190" i="1" s="1"/>
  <c r="F190" i="1" a="1"/>
  <c r="F190" i="1" s="1"/>
  <c r="E190" i="1" a="1"/>
  <c r="E190" i="1" s="1"/>
  <c r="D190" i="1" a="1"/>
  <c r="D190" i="1" s="1"/>
  <c r="C190" i="1" a="1"/>
  <c r="C190" i="1" s="1"/>
  <c r="B190" i="1" a="1"/>
  <c r="B190" i="1" s="1"/>
  <c r="N189" i="1" a="1"/>
  <c r="N189" i="1" s="1"/>
  <c r="M189" i="1" a="1"/>
  <c r="M189" i="1" s="1"/>
  <c r="L189" i="1" a="1"/>
  <c r="L189" i="1" s="1"/>
  <c r="K189" i="1" a="1"/>
  <c r="K189" i="1" s="1"/>
  <c r="F189" i="1" a="1"/>
  <c r="F189" i="1" s="1"/>
  <c r="E189" i="1" a="1"/>
  <c r="E189" i="1" s="1"/>
  <c r="D189" i="1" a="1"/>
  <c r="D189" i="1" s="1"/>
  <c r="C189" i="1" a="1"/>
  <c r="C189" i="1" s="1"/>
  <c r="B189" i="1" a="1"/>
  <c r="B189" i="1" s="1"/>
  <c r="N188" i="1" a="1"/>
  <c r="N188" i="1" s="1"/>
  <c r="M188" i="1" a="1"/>
  <c r="M188" i="1" s="1"/>
  <c r="L188" i="1" a="1"/>
  <c r="L188" i="1" s="1"/>
  <c r="K188" i="1" a="1"/>
  <c r="K188" i="1" s="1"/>
  <c r="F188" i="1" a="1"/>
  <c r="F188" i="1" s="1"/>
  <c r="E188" i="1" a="1"/>
  <c r="E188" i="1" s="1"/>
  <c r="D188" i="1" a="1"/>
  <c r="D188" i="1" s="1"/>
  <c r="C188" i="1" a="1"/>
  <c r="C188" i="1" s="1"/>
  <c r="B188" i="1" a="1"/>
  <c r="B188" i="1" s="1"/>
  <c r="N187" i="1" a="1"/>
  <c r="N187" i="1" s="1"/>
  <c r="M187" i="1" a="1"/>
  <c r="M187" i="1" s="1"/>
  <c r="L187" i="1" a="1"/>
  <c r="L187" i="1" s="1"/>
  <c r="K187" i="1" a="1"/>
  <c r="K187" i="1" s="1"/>
  <c r="F187" i="1" a="1"/>
  <c r="F187" i="1" s="1"/>
  <c r="E187" i="1" a="1"/>
  <c r="E187" i="1" s="1"/>
  <c r="D187" i="1" a="1"/>
  <c r="D187" i="1" s="1"/>
  <c r="C187" i="1" a="1"/>
  <c r="C187" i="1" s="1"/>
  <c r="B187" i="1" a="1"/>
  <c r="B187" i="1" s="1"/>
  <c r="N186" i="1" a="1"/>
  <c r="N186" i="1" s="1"/>
  <c r="M186" i="1" a="1"/>
  <c r="M186" i="1" s="1"/>
  <c r="L186" i="1" a="1"/>
  <c r="L186" i="1" s="1"/>
  <c r="K186" i="1" a="1"/>
  <c r="K186" i="1" s="1"/>
  <c r="F186" i="1" a="1"/>
  <c r="F186" i="1" s="1"/>
  <c r="E186" i="1" a="1"/>
  <c r="E186" i="1" s="1"/>
  <c r="D186" i="1" a="1"/>
  <c r="D186" i="1" s="1"/>
  <c r="C186" i="1" a="1"/>
  <c r="C186" i="1" s="1"/>
  <c r="B186" i="1" a="1"/>
  <c r="B186" i="1" s="1"/>
  <c r="N185" i="1" a="1"/>
  <c r="N185" i="1" s="1"/>
  <c r="M185" i="1" a="1"/>
  <c r="M185" i="1" s="1"/>
  <c r="L185" i="1" a="1"/>
  <c r="L185" i="1" s="1"/>
  <c r="K185" i="1" a="1"/>
  <c r="K185" i="1" s="1"/>
  <c r="F185" i="1" a="1"/>
  <c r="F185" i="1" s="1"/>
  <c r="E185" i="1" a="1"/>
  <c r="E185" i="1" s="1"/>
  <c r="D185" i="1" a="1"/>
  <c r="D185" i="1" s="1"/>
  <c r="C185" i="1" a="1"/>
  <c r="C185" i="1" s="1"/>
  <c r="B185" i="1" a="1"/>
  <c r="B185" i="1" s="1"/>
  <c r="N184" i="1" a="1"/>
  <c r="N184" i="1" s="1"/>
  <c r="M184" i="1" a="1"/>
  <c r="M184" i="1" s="1"/>
  <c r="L184" i="1" a="1"/>
  <c r="L184" i="1" s="1"/>
  <c r="K184" i="1" a="1"/>
  <c r="K184" i="1" s="1"/>
  <c r="F184" i="1" a="1"/>
  <c r="F184" i="1" s="1"/>
  <c r="E184" i="1" a="1"/>
  <c r="E184" i="1" s="1"/>
  <c r="D184" i="1" a="1"/>
  <c r="D184" i="1" s="1"/>
  <c r="C184" i="1" a="1"/>
  <c r="C184" i="1" s="1"/>
  <c r="B184" i="1" a="1"/>
  <c r="B184" i="1" s="1"/>
  <c r="N183" i="1" a="1"/>
  <c r="N183" i="1" s="1"/>
  <c r="M183" i="1" a="1"/>
  <c r="M183" i="1" s="1"/>
  <c r="L183" i="1" a="1"/>
  <c r="L183" i="1" s="1"/>
  <c r="K183" i="1" a="1"/>
  <c r="K183" i="1" s="1"/>
  <c r="F183" i="1" a="1"/>
  <c r="F183" i="1" s="1"/>
  <c r="E183" i="1" a="1"/>
  <c r="E183" i="1" s="1"/>
  <c r="D183" i="1" a="1"/>
  <c r="D183" i="1" s="1"/>
  <c r="C183" i="1" a="1"/>
  <c r="C183" i="1" s="1"/>
  <c r="B183" i="1" a="1"/>
  <c r="B183" i="1" s="1"/>
  <c r="N182" i="1" a="1"/>
  <c r="N182" i="1" s="1"/>
  <c r="M182" i="1" a="1"/>
  <c r="M182" i="1" s="1"/>
  <c r="L182" i="1" a="1"/>
  <c r="L182" i="1" s="1"/>
  <c r="K182" i="1" a="1"/>
  <c r="K182" i="1" s="1"/>
  <c r="F182" i="1" a="1"/>
  <c r="F182" i="1" s="1"/>
  <c r="E182" i="1" a="1"/>
  <c r="E182" i="1" s="1"/>
  <c r="D182" i="1" a="1"/>
  <c r="D182" i="1" s="1"/>
  <c r="C182" i="1" a="1"/>
  <c r="C182" i="1" s="1"/>
  <c r="B182" i="1" a="1"/>
  <c r="B182" i="1" s="1"/>
  <c r="N181" i="1" a="1"/>
  <c r="N181" i="1" s="1"/>
  <c r="M181" i="1" a="1"/>
  <c r="M181" i="1" s="1"/>
  <c r="L181" i="1" a="1"/>
  <c r="L181" i="1" s="1"/>
  <c r="K181" i="1" a="1"/>
  <c r="K181" i="1" s="1"/>
  <c r="F181" i="1" a="1"/>
  <c r="F181" i="1" s="1"/>
  <c r="E181" i="1" a="1"/>
  <c r="E181" i="1" s="1"/>
  <c r="D181" i="1" a="1"/>
  <c r="D181" i="1" s="1"/>
  <c r="C181" i="1" a="1"/>
  <c r="C181" i="1" s="1"/>
  <c r="B181" i="1" a="1"/>
  <c r="B181" i="1" s="1"/>
  <c r="N180" i="1" a="1"/>
  <c r="N180" i="1" s="1"/>
  <c r="M180" i="1" a="1"/>
  <c r="M180" i="1" s="1"/>
  <c r="L180" i="1" a="1"/>
  <c r="L180" i="1" s="1"/>
  <c r="K180" i="1" a="1"/>
  <c r="K180" i="1" s="1"/>
  <c r="F180" i="1" a="1"/>
  <c r="F180" i="1" s="1"/>
  <c r="E180" i="1" a="1"/>
  <c r="E180" i="1" s="1"/>
  <c r="D180" i="1" a="1"/>
  <c r="D180" i="1" s="1"/>
  <c r="C180" i="1" a="1"/>
  <c r="C180" i="1" s="1"/>
  <c r="B180" i="1" a="1"/>
  <c r="B180" i="1" s="1"/>
  <c r="N179" i="1" a="1"/>
  <c r="N179" i="1" s="1"/>
  <c r="M179" i="1" a="1"/>
  <c r="M179" i="1" s="1"/>
  <c r="L179" i="1" a="1"/>
  <c r="L179" i="1" s="1"/>
  <c r="K179" i="1" a="1"/>
  <c r="K179" i="1" s="1"/>
  <c r="F179" i="1" a="1"/>
  <c r="F179" i="1" s="1"/>
  <c r="E179" i="1" a="1"/>
  <c r="E179" i="1" s="1"/>
  <c r="D179" i="1" a="1"/>
  <c r="D179" i="1" s="1"/>
  <c r="C179" i="1" a="1"/>
  <c r="C179" i="1" s="1"/>
  <c r="B179" i="1" a="1"/>
  <c r="B179" i="1" s="1"/>
  <c r="N178" i="1" a="1"/>
  <c r="N178" i="1" s="1"/>
  <c r="M178" i="1" a="1"/>
  <c r="M178" i="1" s="1"/>
  <c r="L178" i="1" a="1"/>
  <c r="L178" i="1" s="1"/>
  <c r="K178" i="1" a="1"/>
  <c r="K178" i="1" s="1"/>
  <c r="F178" i="1" a="1"/>
  <c r="F178" i="1" s="1"/>
  <c r="E178" i="1" a="1"/>
  <c r="E178" i="1" s="1"/>
  <c r="D178" i="1" a="1"/>
  <c r="D178" i="1" s="1"/>
  <c r="C178" i="1" a="1"/>
  <c r="C178" i="1" s="1"/>
  <c r="B178" i="1" a="1"/>
  <c r="B178" i="1" s="1"/>
  <c r="N177" i="1" a="1"/>
  <c r="N177" i="1" s="1"/>
  <c r="M177" i="1" a="1"/>
  <c r="M177" i="1" s="1"/>
  <c r="L177" i="1" a="1"/>
  <c r="L177" i="1" s="1"/>
  <c r="K177" i="1" a="1"/>
  <c r="K177" i="1" s="1"/>
  <c r="F177" i="1" a="1"/>
  <c r="F177" i="1" s="1"/>
  <c r="E177" i="1" a="1"/>
  <c r="E177" i="1" s="1"/>
  <c r="D177" i="1" a="1"/>
  <c r="D177" i="1" s="1"/>
  <c r="C177" i="1" a="1"/>
  <c r="C177" i="1" s="1"/>
  <c r="B177" i="1" a="1"/>
  <c r="B177" i="1" s="1"/>
  <c r="N176" i="1" a="1"/>
  <c r="N176" i="1" s="1"/>
  <c r="M176" i="1" a="1"/>
  <c r="M176" i="1" s="1"/>
  <c r="L176" i="1" a="1"/>
  <c r="L176" i="1" s="1"/>
  <c r="K176" i="1" a="1"/>
  <c r="K176" i="1" s="1"/>
  <c r="F176" i="1" a="1"/>
  <c r="F176" i="1" s="1"/>
  <c r="E176" i="1" a="1"/>
  <c r="E176" i="1" s="1"/>
  <c r="D176" i="1" a="1"/>
  <c r="D176" i="1" s="1"/>
  <c r="C176" i="1" a="1"/>
  <c r="C176" i="1" s="1"/>
  <c r="B176" i="1" a="1"/>
  <c r="B176" i="1" s="1"/>
  <c r="N175" i="1" a="1"/>
  <c r="N175" i="1" s="1"/>
  <c r="M175" i="1" a="1"/>
  <c r="M175" i="1" s="1"/>
  <c r="L175" i="1" a="1"/>
  <c r="L175" i="1" s="1"/>
  <c r="K175" i="1" a="1"/>
  <c r="K175" i="1" s="1"/>
  <c r="F175" i="1" a="1"/>
  <c r="F175" i="1" s="1"/>
  <c r="E175" i="1" a="1"/>
  <c r="E175" i="1" s="1"/>
  <c r="D175" i="1" a="1"/>
  <c r="D175" i="1" s="1"/>
  <c r="C175" i="1" a="1"/>
  <c r="C175" i="1" s="1"/>
  <c r="B175" i="1" a="1"/>
  <c r="B175" i="1" s="1"/>
  <c r="N174" i="1" a="1"/>
  <c r="N174" i="1" s="1"/>
  <c r="M174" i="1" a="1"/>
  <c r="M174" i="1" s="1"/>
  <c r="L174" i="1" a="1"/>
  <c r="L174" i="1" s="1"/>
  <c r="K174" i="1" a="1"/>
  <c r="K174" i="1" s="1"/>
  <c r="F174" i="1" a="1"/>
  <c r="F174" i="1" s="1"/>
  <c r="E174" i="1" a="1"/>
  <c r="E174" i="1" s="1"/>
  <c r="D174" i="1" a="1"/>
  <c r="D174" i="1" s="1"/>
  <c r="C174" i="1" a="1"/>
  <c r="C174" i="1" s="1"/>
  <c r="B174" i="1" a="1"/>
  <c r="B174" i="1" s="1"/>
  <c r="N173" i="1" a="1"/>
  <c r="N173" i="1" s="1"/>
  <c r="M173" i="1" a="1"/>
  <c r="M173" i="1" s="1"/>
  <c r="L173" i="1" a="1"/>
  <c r="L173" i="1" s="1"/>
  <c r="K173" i="1" a="1"/>
  <c r="K173" i="1" s="1"/>
  <c r="F173" i="1" a="1"/>
  <c r="F173" i="1" s="1"/>
  <c r="E173" i="1" a="1"/>
  <c r="E173" i="1" s="1"/>
  <c r="D173" i="1" a="1"/>
  <c r="D173" i="1" s="1"/>
  <c r="C173" i="1" a="1"/>
  <c r="C173" i="1" s="1"/>
  <c r="B173" i="1" a="1"/>
  <c r="B173" i="1" s="1"/>
  <c r="N172" i="1" a="1"/>
  <c r="N172" i="1" s="1"/>
  <c r="M172" i="1" a="1"/>
  <c r="M172" i="1" s="1"/>
  <c r="L172" i="1" a="1"/>
  <c r="L172" i="1" s="1"/>
  <c r="K172" i="1" a="1"/>
  <c r="K172" i="1" s="1"/>
  <c r="F172" i="1" a="1"/>
  <c r="F172" i="1" s="1"/>
  <c r="E172" i="1" a="1"/>
  <c r="E172" i="1" s="1"/>
  <c r="D172" i="1" a="1"/>
  <c r="D172" i="1" s="1"/>
  <c r="C172" i="1" a="1"/>
  <c r="C172" i="1" s="1"/>
  <c r="B172" i="1" a="1"/>
  <c r="B172" i="1" s="1"/>
  <c r="N171" i="1" a="1"/>
  <c r="N171" i="1" s="1"/>
  <c r="M171" i="1" a="1"/>
  <c r="M171" i="1" s="1"/>
  <c r="L171" i="1" a="1"/>
  <c r="L171" i="1" s="1"/>
  <c r="K171" i="1" a="1"/>
  <c r="K171" i="1" s="1"/>
  <c r="F171" i="1" a="1"/>
  <c r="F171" i="1" s="1"/>
  <c r="E171" i="1" a="1"/>
  <c r="E171" i="1" s="1"/>
  <c r="D171" i="1" a="1"/>
  <c r="D171" i="1" s="1"/>
  <c r="C171" i="1" a="1"/>
  <c r="C171" i="1" s="1"/>
  <c r="B171" i="1" a="1"/>
  <c r="B171" i="1" s="1"/>
  <c r="N170" i="1" a="1"/>
  <c r="N170" i="1" s="1"/>
  <c r="M170" i="1" a="1"/>
  <c r="M170" i="1" s="1"/>
  <c r="L170" i="1" a="1"/>
  <c r="L170" i="1" s="1"/>
  <c r="K170" i="1" a="1"/>
  <c r="K170" i="1" s="1"/>
  <c r="F170" i="1" a="1"/>
  <c r="F170" i="1" s="1"/>
  <c r="E170" i="1" a="1"/>
  <c r="E170" i="1" s="1"/>
  <c r="D170" i="1" a="1"/>
  <c r="D170" i="1" s="1"/>
  <c r="C170" i="1" a="1"/>
  <c r="C170" i="1" s="1"/>
  <c r="B170" i="1" a="1"/>
  <c r="B170" i="1" s="1"/>
  <c r="N169" i="1" a="1"/>
  <c r="N169" i="1" s="1"/>
  <c r="M169" i="1" a="1"/>
  <c r="M169" i="1" s="1"/>
  <c r="L169" i="1" a="1"/>
  <c r="L169" i="1" s="1"/>
  <c r="K169" i="1" a="1"/>
  <c r="K169" i="1" s="1"/>
  <c r="F169" i="1" a="1"/>
  <c r="F169" i="1" s="1"/>
  <c r="E169" i="1" a="1"/>
  <c r="E169" i="1" s="1"/>
  <c r="D169" i="1" a="1"/>
  <c r="D169" i="1" s="1"/>
  <c r="C169" i="1" a="1"/>
  <c r="C169" i="1" s="1"/>
  <c r="B169" i="1" a="1"/>
  <c r="B169" i="1" s="1"/>
  <c r="N168" i="1" a="1"/>
  <c r="N168" i="1" s="1"/>
  <c r="M168" i="1" a="1"/>
  <c r="M168" i="1" s="1"/>
  <c r="L168" i="1" a="1"/>
  <c r="L168" i="1" s="1"/>
  <c r="K168" i="1" a="1"/>
  <c r="K168" i="1" s="1"/>
  <c r="F168" i="1" a="1"/>
  <c r="F168" i="1" s="1"/>
  <c r="E168" i="1" a="1"/>
  <c r="E168" i="1"/>
  <c r="D168" i="1" a="1"/>
  <c r="D168" i="1" s="1"/>
  <c r="C168" i="1" a="1"/>
  <c r="C168" i="1" s="1"/>
  <c r="B168" i="1" a="1"/>
  <c r="B168" i="1" s="1"/>
  <c r="N167" i="1" a="1"/>
  <c r="N167" i="1"/>
  <c r="M167" i="1" a="1"/>
  <c r="M167" i="1" s="1"/>
  <c r="L167" i="1" a="1"/>
  <c r="L167" i="1" s="1"/>
  <c r="K167" i="1" a="1"/>
  <c r="K167" i="1" s="1"/>
  <c r="F167" i="1" a="1"/>
  <c r="F167" i="1" s="1"/>
  <c r="E167" i="1" a="1"/>
  <c r="E167" i="1" s="1"/>
  <c r="D167" i="1" a="1"/>
  <c r="D167" i="1" s="1"/>
  <c r="C167" i="1" a="1"/>
  <c r="C167" i="1" s="1"/>
  <c r="B167" i="1" a="1"/>
  <c r="B167" i="1" s="1"/>
  <c r="N166" i="1" a="1"/>
  <c r="N166" i="1" s="1"/>
  <c r="M166" i="1" a="1"/>
  <c r="M166" i="1" s="1"/>
  <c r="L166" i="1" a="1"/>
  <c r="L166" i="1" s="1"/>
  <c r="K166" i="1" a="1"/>
  <c r="K166" i="1" s="1"/>
  <c r="F166" i="1" a="1"/>
  <c r="F166" i="1" s="1"/>
  <c r="E166" i="1" a="1"/>
  <c r="E166" i="1" s="1"/>
  <c r="D166" i="1" a="1"/>
  <c r="D166" i="1" s="1"/>
  <c r="C166" i="1" a="1"/>
  <c r="C166" i="1"/>
  <c r="B166" i="1" a="1"/>
  <c r="B166" i="1" s="1"/>
  <c r="N165" i="1" a="1"/>
  <c r="N165" i="1" s="1"/>
  <c r="M165" i="1" a="1"/>
  <c r="M165" i="1" s="1"/>
  <c r="L165" i="1" a="1"/>
  <c r="L165" i="1" s="1"/>
  <c r="K165" i="1" a="1"/>
  <c r="K165" i="1" s="1"/>
  <c r="F165" i="1" a="1"/>
  <c r="F165" i="1" s="1"/>
  <c r="E165" i="1" a="1"/>
  <c r="E165" i="1" s="1"/>
  <c r="D165" i="1" a="1"/>
  <c r="D165" i="1" s="1"/>
  <c r="C165" i="1" a="1"/>
  <c r="C165" i="1" s="1"/>
  <c r="B165" i="1" a="1"/>
  <c r="B165" i="1" s="1"/>
  <c r="N164" i="1" a="1"/>
  <c r="N164" i="1" s="1"/>
  <c r="M164" i="1" a="1"/>
  <c r="M164" i="1" s="1"/>
  <c r="L164" i="1" a="1"/>
  <c r="L164" i="1" s="1"/>
  <c r="K164" i="1" a="1"/>
  <c r="K164" i="1"/>
  <c r="F164" i="1" a="1"/>
  <c r="F164" i="1" s="1"/>
  <c r="E164" i="1" a="1"/>
  <c r="E164" i="1" s="1"/>
  <c r="D164" i="1" a="1"/>
  <c r="D164" i="1" s="1"/>
  <c r="C164" i="1" a="1"/>
  <c r="C164" i="1" s="1"/>
  <c r="B164" i="1" a="1"/>
  <c r="B164" i="1" s="1"/>
  <c r="N163" i="1" a="1"/>
  <c r="N163" i="1" s="1"/>
  <c r="M163" i="1" a="1"/>
  <c r="M163" i="1" s="1"/>
  <c r="L163" i="1" a="1"/>
  <c r="L163" i="1" s="1"/>
  <c r="K163" i="1" a="1"/>
  <c r="K163" i="1" s="1"/>
  <c r="F163" i="1" a="1"/>
  <c r="F163" i="1"/>
  <c r="E163" i="1" a="1"/>
  <c r="E163" i="1" s="1"/>
  <c r="D163" i="1" a="1"/>
  <c r="D163" i="1" s="1"/>
  <c r="C163" i="1" a="1"/>
  <c r="C163" i="1" s="1"/>
  <c r="B163" i="1" a="1"/>
  <c r="B163" i="1"/>
  <c r="N162" i="1" a="1"/>
  <c r="N162" i="1" s="1"/>
  <c r="M162" i="1" a="1"/>
  <c r="M162" i="1" s="1"/>
  <c r="L162" i="1" a="1"/>
  <c r="L162" i="1" s="1"/>
  <c r="K162" i="1" a="1"/>
  <c r="K162" i="1" s="1"/>
  <c r="F162" i="1" a="1"/>
  <c r="F162" i="1" s="1"/>
  <c r="E162" i="1" a="1"/>
  <c r="E162" i="1" s="1"/>
  <c r="D162" i="1" a="1"/>
  <c r="D162" i="1" s="1"/>
  <c r="C162" i="1" a="1"/>
  <c r="C162" i="1" s="1"/>
  <c r="B162" i="1" a="1"/>
  <c r="B162" i="1" s="1"/>
  <c r="N161" i="1" a="1"/>
  <c r="N161" i="1" s="1"/>
  <c r="M161" i="1" a="1"/>
  <c r="M161" i="1" s="1"/>
  <c r="L161" i="1" a="1"/>
  <c r="L161" i="1" s="1"/>
  <c r="K161" i="1" a="1"/>
  <c r="K161" i="1" s="1"/>
  <c r="F161" i="1" a="1"/>
  <c r="F161" i="1" s="1"/>
  <c r="E161" i="1" a="1"/>
  <c r="E161" i="1" s="1"/>
  <c r="D161" i="1" a="1"/>
  <c r="D161" i="1" s="1"/>
  <c r="C161" i="1" a="1"/>
  <c r="C161" i="1" s="1"/>
  <c r="B161" i="1" a="1"/>
  <c r="B161" i="1" s="1"/>
  <c r="N160" i="1" a="1"/>
  <c r="N160" i="1" s="1"/>
  <c r="M160" i="1" a="1"/>
  <c r="M160" i="1"/>
  <c r="L160" i="1" a="1"/>
  <c r="L160" i="1" s="1"/>
  <c r="K160" i="1" a="1"/>
  <c r="K160" i="1" s="1"/>
  <c r="F160" i="1" a="1"/>
  <c r="F160" i="1" s="1"/>
  <c r="E160" i="1" a="1"/>
  <c r="E160" i="1" s="1"/>
  <c r="D160" i="1" a="1"/>
  <c r="D160" i="1" s="1"/>
  <c r="C160" i="1" a="1"/>
  <c r="C160" i="1" s="1"/>
  <c r="B160" i="1" a="1"/>
  <c r="B160" i="1" s="1"/>
  <c r="N159" i="1" a="1"/>
  <c r="N159" i="1" s="1"/>
  <c r="M159" i="1" a="1"/>
  <c r="M159" i="1" s="1"/>
  <c r="L159" i="1" a="1"/>
  <c r="L159" i="1" s="1"/>
  <c r="K159" i="1" a="1"/>
  <c r="K159" i="1" s="1"/>
  <c r="F159" i="1" a="1"/>
  <c r="F159" i="1" s="1"/>
  <c r="E159" i="1" a="1"/>
  <c r="E159" i="1" s="1"/>
  <c r="D159" i="1" a="1"/>
  <c r="D159" i="1" s="1"/>
  <c r="C159" i="1" a="1"/>
  <c r="C159" i="1" s="1"/>
  <c r="B159" i="1" a="1"/>
  <c r="B159" i="1" s="1"/>
  <c r="N158" i="1" a="1"/>
  <c r="N158" i="1" s="1"/>
  <c r="M158" i="1" a="1"/>
  <c r="M158" i="1" s="1"/>
  <c r="L158" i="1" a="1"/>
  <c r="L158" i="1" s="1"/>
  <c r="K158" i="1" a="1"/>
  <c r="K158" i="1" s="1"/>
  <c r="F158" i="1" a="1"/>
  <c r="F158" i="1" s="1"/>
  <c r="E158" i="1" a="1"/>
  <c r="E158" i="1" s="1"/>
  <c r="D158" i="1" a="1"/>
  <c r="D158" i="1" s="1"/>
  <c r="C158" i="1" a="1"/>
  <c r="C158" i="1" s="1"/>
  <c r="B158" i="1" a="1"/>
  <c r="B158" i="1" s="1"/>
  <c r="N157" i="1" a="1"/>
  <c r="N157" i="1" s="1"/>
  <c r="M157" i="1" a="1"/>
  <c r="M157" i="1" s="1"/>
  <c r="L157" i="1" a="1"/>
  <c r="L157" i="1" s="1"/>
  <c r="K157" i="1" a="1"/>
  <c r="K157" i="1" s="1"/>
  <c r="F157" i="1" a="1"/>
  <c r="F157" i="1" s="1"/>
  <c r="E157" i="1" a="1"/>
  <c r="E157" i="1" s="1"/>
  <c r="D157" i="1" a="1"/>
  <c r="D157" i="1" s="1"/>
  <c r="C157" i="1" a="1"/>
  <c r="C157" i="1" s="1"/>
  <c r="B157" i="1" a="1"/>
  <c r="B157" i="1" s="1"/>
  <c r="N156" i="1" a="1"/>
  <c r="N156" i="1" s="1"/>
  <c r="M156" i="1" a="1"/>
  <c r="M156" i="1" s="1"/>
  <c r="L156" i="1" a="1"/>
  <c r="L156" i="1" s="1"/>
  <c r="K156" i="1" a="1"/>
  <c r="K156" i="1" s="1"/>
  <c r="F156" i="1" a="1"/>
  <c r="F156" i="1" s="1"/>
  <c r="E156" i="1" a="1"/>
  <c r="E156" i="1" s="1"/>
  <c r="D156" i="1" a="1"/>
  <c r="D156" i="1" s="1"/>
  <c r="C156" i="1" a="1"/>
  <c r="C156" i="1" s="1"/>
  <c r="B156" i="1" a="1"/>
  <c r="B156" i="1" s="1"/>
  <c r="N155" i="1" a="1"/>
  <c r="N155" i="1" s="1"/>
  <c r="M155" i="1" a="1"/>
  <c r="M155" i="1" s="1"/>
  <c r="L155" i="1" a="1"/>
  <c r="L155" i="1" s="1"/>
  <c r="K155" i="1" a="1"/>
  <c r="K155" i="1" s="1"/>
  <c r="F155" i="1" a="1"/>
  <c r="F155" i="1" s="1"/>
  <c r="E155" i="1" a="1"/>
  <c r="E155" i="1" s="1"/>
  <c r="D155" i="1" a="1"/>
  <c r="D155" i="1" s="1"/>
  <c r="C155" i="1" a="1"/>
  <c r="C155" i="1" s="1"/>
  <c r="B155" i="1" a="1"/>
  <c r="B155" i="1" s="1"/>
  <c r="N154" i="1" a="1"/>
  <c r="N154" i="1" s="1"/>
  <c r="M154" i="1" a="1"/>
  <c r="M154" i="1" s="1"/>
  <c r="L154" i="1" a="1"/>
  <c r="L154" i="1" s="1"/>
  <c r="K154" i="1" a="1"/>
  <c r="K154" i="1" s="1"/>
  <c r="F154" i="1" a="1"/>
  <c r="F154" i="1" s="1"/>
  <c r="E154" i="1" a="1"/>
  <c r="E154" i="1" s="1"/>
  <c r="D154" i="1" a="1"/>
  <c r="D154" i="1" s="1"/>
  <c r="C154" i="1" a="1"/>
  <c r="C154" i="1" s="1"/>
  <c r="B154" i="1" a="1"/>
  <c r="B154" i="1" s="1"/>
  <c r="N153" i="1" a="1"/>
  <c r="N153" i="1" s="1"/>
  <c r="M153" i="1" a="1"/>
  <c r="M153" i="1" s="1"/>
  <c r="L153" i="1" a="1"/>
  <c r="L153" i="1" s="1"/>
  <c r="K153" i="1" a="1"/>
  <c r="K153" i="1" s="1"/>
  <c r="F153" i="1" a="1"/>
  <c r="F153" i="1" s="1"/>
  <c r="E153" i="1" a="1"/>
  <c r="E153" i="1" s="1"/>
  <c r="D153" i="1" a="1"/>
  <c r="D153" i="1" s="1"/>
  <c r="C153" i="1" a="1"/>
  <c r="C153" i="1" s="1"/>
  <c r="B153" i="1" a="1"/>
  <c r="B153" i="1" s="1"/>
  <c r="N152" i="1" a="1"/>
  <c r="N152" i="1" s="1"/>
  <c r="M152" i="1" a="1"/>
  <c r="M152" i="1" s="1"/>
  <c r="L152" i="1" a="1"/>
  <c r="L152" i="1" s="1"/>
  <c r="K152" i="1" a="1"/>
  <c r="K152" i="1" s="1"/>
  <c r="F152" i="1" a="1"/>
  <c r="F152" i="1" s="1"/>
  <c r="E152" i="1" a="1"/>
  <c r="E152" i="1" s="1"/>
  <c r="D152" i="1" a="1"/>
  <c r="D152" i="1" s="1"/>
  <c r="C152" i="1" a="1"/>
  <c r="C152" i="1" s="1"/>
  <c r="B152" i="1" a="1"/>
  <c r="B152" i="1" s="1"/>
  <c r="N151" i="1" a="1"/>
  <c r="N151" i="1" s="1"/>
  <c r="M151" i="1" a="1"/>
  <c r="M151" i="1" s="1"/>
  <c r="L151" i="1" a="1"/>
  <c r="L151" i="1" s="1"/>
  <c r="K151" i="1" a="1"/>
  <c r="K151" i="1" s="1"/>
  <c r="F151" i="1" a="1"/>
  <c r="F151" i="1" s="1"/>
  <c r="E151" i="1" a="1"/>
  <c r="E151" i="1" s="1"/>
  <c r="D151" i="1" a="1"/>
  <c r="D151" i="1" s="1"/>
  <c r="C151" i="1" a="1"/>
  <c r="C151" i="1" s="1"/>
  <c r="B151" i="1" a="1"/>
  <c r="B151" i="1" s="1"/>
  <c r="N150" i="1" a="1"/>
  <c r="N150" i="1" s="1"/>
  <c r="M150" i="1" a="1"/>
  <c r="M150" i="1" s="1"/>
  <c r="L150" i="1" a="1"/>
  <c r="L150" i="1" s="1"/>
  <c r="K150" i="1" a="1"/>
  <c r="K150" i="1" s="1"/>
  <c r="F150" i="1" a="1"/>
  <c r="F150" i="1" s="1"/>
  <c r="E150" i="1" a="1"/>
  <c r="E150" i="1" s="1"/>
  <c r="D150" i="1" a="1"/>
  <c r="D150" i="1" s="1"/>
  <c r="C150" i="1" a="1"/>
  <c r="C150" i="1" s="1"/>
  <c r="B150" i="1" a="1"/>
  <c r="B150" i="1" s="1"/>
  <c r="N149" i="1" a="1"/>
  <c r="N149" i="1" s="1"/>
  <c r="M149" i="1" a="1"/>
  <c r="M149" i="1" s="1"/>
  <c r="L149" i="1" a="1"/>
  <c r="L149" i="1" s="1"/>
  <c r="K149" i="1" a="1"/>
  <c r="K149" i="1" s="1"/>
  <c r="F149" i="1" a="1"/>
  <c r="F149" i="1" s="1"/>
  <c r="E149" i="1" a="1"/>
  <c r="E149" i="1" s="1"/>
  <c r="D149" i="1" a="1"/>
  <c r="D149" i="1" s="1"/>
  <c r="C149" i="1" a="1"/>
  <c r="C149" i="1" s="1"/>
  <c r="B149" i="1" a="1"/>
  <c r="B149" i="1" s="1"/>
  <c r="N148" i="1" a="1"/>
  <c r="N148" i="1" s="1"/>
  <c r="M148" i="1" a="1"/>
  <c r="M148" i="1" s="1"/>
  <c r="L148" i="1" a="1"/>
  <c r="L148" i="1" s="1"/>
  <c r="K148" i="1" a="1"/>
  <c r="K148" i="1" s="1"/>
  <c r="F148" i="1" a="1"/>
  <c r="F148" i="1" s="1"/>
  <c r="E148" i="1" a="1"/>
  <c r="E148" i="1" s="1"/>
  <c r="D148" i="1" a="1"/>
  <c r="D148" i="1" s="1"/>
  <c r="C148" i="1" a="1"/>
  <c r="C148" i="1" s="1"/>
  <c r="B148" i="1" a="1"/>
  <c r="B148" i="1" s="1"/>
  <c r="N147" i="1" a="1"/>
  <c r="N147" i="1" s="1"/>
  <c r="M147" i="1" a="1"/>
  <c r="M147" i="1" s="1"/>
  <c r="L147" i="1" a="1"/>
  <c r="L147" i="1" s="1"/>
  <c r="K147" i="1" a="1"/>
  <c r="K147" i="1" s="1"/>
  <c r="F147" i="1" a="1"/>
  <c r="F147" i="1" s="1"/>
  <c r="E147" i="1" a="1"/>
  <c r="E147" i="1" s="1"/>
  <c r="D147" i="1" a="1"/>
  <c r="D147" i="1" s="1"/>
  <c r="C147" i="1" a="1"/>
  <c r="C147" i="1" s="1"/>
  <c r="B147" i="1" a="1"/>
  <c r="B147" i="1" s="1"/>
  <c r="N146" i="1" a="1"/>
  <c r="N146" i="1" s="1"/>
  <c r="M146" i="1" a="1"/>
  <c r="M146" i="1" s="1"/>
  <c r="L146" i="1" a="1"/>
  <c r="L146" i="1" s="1"/>
  <c r="K146" i="1" a="1"/>
  <c r="K146" i="1" s="1"/>
  <c r="F146" i="1" a="1"/>
  <c r="F146" i="1" s="1"/>
  <c r="E146" i="1" a="1"/>
  <c r="E146" i="1" s="1"/>
  <c r="D146" i="1" a="1"/>
  <c r="D146" i="1" s="1"/>
  <c r="C146" i="1" a="1"/>
  <c r="C146" i="1" s="1"/>
  <c r="B146" i="1" a="1"/>
  <c r="B146" i="1" s="1"/>
  <c r="N145" i="1" a="1"/>
  <c r="N145" i="1" s="1"/>
  <c r="M145" i="1" a="1"/>
  <c r="M145" i="1" s="1"/>
  <c r="L145" i="1" a="1"/>
  <c r="L145" i="1" s="1"/>
  <c r="K145" i="1" a="1"/>
  <c r="K145" i="1" s="1"/>
  <c r="F145" i="1" a="1"/>
  <c r="F145" i="1" s="1"/>
  <c r="E145" i="1" a="1"/>
  <c r="E145" i="1" s="1"/>
  <c r="D145" i="1" a="1"/>
  <c r="D145" i="1" s="1"/>
  <c r="C145" i="1" a="1"/>
  <c r="C145" i="1" s="1"/>
  <c r="B145" i="1" a="1"/>
  <c r="B145" i="1" s="1"/>
  <c r="N144" i="1" a="1"/>
  <c r="N144" i="1" s="1"/>
  <c r="M144" i="1" a="1"/>
  <c r="M144" i="1" s="1"/>
  <c r="L144" i="1" a="1"/>
  <c r="L144" i="1" s="1"/>
  <c r="K144" i="1" a="1"/>
  <c r="K144" i="1" s="1"/>
  <c r="F144" i="1" a="1"/>
  <c r="F144" i="1" s="1"/>
  <c r="E144" i="1" a="1"/>
  <c r="E144" i="1" s="1"/>
  <c r="D144" i="1" a="1"/>
  <c r="D144" i="1" s="1"/>
  <c r="C144" i="1" a="1"/>
  <c r="C144" i="1" s="1"/>
  <c r="B144" i="1" a="1"/>
  <c r="B144" i="1" s="1"/>
  <c r="N143" i="1" a="1"/>
  <c r="N143" i="1" s="1"/>
  <c r="M143" i="1" a="1"/>
  <c r="M143" i="1" s="1"/>
  <c r="L143" i="1" a="1"/>
  <c r="L143" i="1" s="1"/>
  <c r="K143" i="1" a="1"/>
  <c r="K143" i="1" s="1"/>
  <c r="F143" i="1" a="1"/>
  <c r="F143" i="1" s="1"/>
  <c r="E143" i="1" a="1"/>
  <c r="E143" i="1" s="1"/>
  <c r="D143" i="1" a="1"/>
  <c r="D143" i="1" s="1"/>
  <c r="C143" i="1" a="1"/>
  <c r="C143" i="1" s="1"/>
  <c r="B143" i="1" a="1"/>
  <c r="B143" i="1" s="1"/>
  <c r="N142" i="1" a="1"/>
  <c r="N142" i="1" s="1"/>
  <c r="M142" i="1" a="1"/>
  <c r="M142" i="1" s="1"/>
  <c r="L142" i="1" a="1"/>
  <c r="L142" i="1" s="1"/>
  <c r="K142" i="1" a="1"/>
  <c r="K142" i="1" s="1"/>
  <c r="F142" i="1" a="1"/>
  <c r="F142" i="1" s="1"/>
  <c r="E142" i="1" a="1"/>
  <c r="E142" i="1" s="1"/>
  <c r="D142" i="1" a="1"/>
  <c r="D142" i="1" s="1"/>
  <c r="C142" i="1" a="1"/>
  <c r="C142" i="1" s="1"/>
  <c r="B142" i="1" a="1"/>
  <c r="B142" i="1" s="1"/>
  <c r="N141" i="1" a="1"/>
  <c r="N141" i="1" s="1"/>
  <c r="M141" i="1" a="1"/>
  <c r="M141" i="1" s="1"/>
  <c r="L141" i="1" a="1"/>
  <c r="L141" i="1" s="1"/>
  <c r="K141" i="1" a="1"/>
  <c r="K141" i="1" s="1"/>
  <c r="F141" i="1" a="1"/>
  <c r="F141" i="1" s="1"/>
  <c r="E141" i="1" a="1"/>
  <c r="E141" i="1" s="1"/>
  <c r="D141" i="1" a="1"/>
  <c r="D141" i="1" s="1"/>
  <c r="C141" i="1" a="1"/>
  <c r="C141" i="1" s="1"/>
  <c r="B141" i="1" a="1"/>
  <c r="B141" i="1" s="1"/>
  <c r="N140" i="1" a="1"/>
  <c r="N140" i="1" s="1"/>
  <c r="M140" i="1" a="1"/>
  <c r="M140" i="1" s="1"/>
  <c r="L140" i="1" a="1"/>
  <c r="L140" i="1" s="1"/>
  <c r="K140" i="1" a="1"/>
  <c r="K140" i="1" s="1"/>
  <c r="F140" i="1" a="1"/>
  <c r="F140" i="1" s="1"/>
  <c r="E140" i="1" a="1"/>
  <c r="E140" i="1" s="1"/>
  <c r="D140" i="1" a="1"/>
  <c r="D140" i="1" s="1"/>
  <c r="C140" i="1" a="1"/>
  <c r="C140" i="1" s="1"/>
  <c r="B140" i="1" a="1"/>
  <c r="B140" i="1" s="1"/>
  <c r="N139" i="1" a="1"/>
  <c r="N139" i="1" s="1"/>
  <c r="M139" i="1" a="1"/>
  <c r="M139" i="1" s="1"/>
  <c r="L139" i="1" a="1"/>
  <c r="L139" i="1" s="1"/>
  <c r="K139" i="1" a="1"/>
  <c r="K139" i="1" s="1"/>
  <c r="F139" i="1" a="1"/>
  <c r="F139" i="1" s="1"/>
  <c r="E139" i="1" a="1"/>
  <c r="E139" i="1" s="1"/>
  <c r="D139" i="1" a="1"/>
  <c r="D139" i="1" s="1"/>
  <c r="C139" i="1" a="1"/>
  <c r="C139" i="1" s="1"/>
  <c r="B139" i="1" a="1"/>
  <c r="B139" i="1" s="1"/>
  <c r="N138" i="1" a="1"/>
  <c r="N138" i="1" s="1"/>
  <c r="M138" i="1" a="1"/>
  <c r="M138" i="1" s="1"/>
  <c r="L138" i="1" a="1"/>
  <c r="L138" i="1" s="1"/>
  <c r="K138" i="1" a="1"/>
  <c r="K138" i="1" s="1"/>
  <c r="F138" i="1" a="1"/>
  <c r="F138" i="1" s="1"/>
  <c r="E138" i="1" a="1"/>
  <c r="E138" i="1" s="1"/>
  <c r="D138" i="1" a="1"/>
  <c r="D138" i="1" s="1"/>
  <c r="C138" i="1" a="1"/>
  <c r="C138" i="1" s="1"/>
  <c r="B138" i="1" a="1"/>
  <c r="B138" i="1" s="1"/>
  <c r="N137" i="1" a="1"/>
  <c r="N137" i="1" s="1"/>
  <c r="M137" i="1" a="1"/>
  <c r="M137" i="1" s="1"/>
  <c r="L137" i="1" a="1"/>
  <c r="L137" i="1" s="1"/>
  <c r="K137" i="1" a="1"/>
  <c r="K137" i="1" s="1"/>
  <c r="F137" i="1" a="1"/>
  <c r="F137" i="1" s="1"/>
  <c r="E137" i="1" a="1"/>
  <c r="E137" i="1" s="1"/>
  <c r="D137" i="1" a="1"/>
  <c r="D137" i="1" s="1"/>
  <c r="C137" i="1" a="1"/>
  <c r="C137" i="1" s="1"/>
  <c r="B137" i="1" a="1"/>
  <c r="B137" i="1" s="1"/>
  <c r="N136" i="1" a="1"/>
  <c r="N136" i="1" s="1"/>
  <c r="M136" i="1" a="1"/>
  <c r="M136" i="1" s="1"/>
  <c r="L136" i="1" a="1"/>
  <c r="L136" i="1" s="1"/>
  <c r="K136" i="1" a="1"/>
  <c r="K136" i="1" s="1"/>
  <c r="F136" i="1" a="1"/>
  <c r="F136" i="1" s="1"/>
  <c r="E136" i="1" a="1"/>
  <c r="E136" i="1" s="1"/>
  <c r="D136" i="1" a="1"/>
  <c r="D136" i="1" s="1"/>
  <c r="C136" i="1" a="1"/>
  <c r="C136" i="1" s="1"/>
  <c r="B136" i="1" a="1"/>
  <c r="B136" i="1" s="1"/>
  <c r="N135" i="1" a="1"/>
  <c r="N135" i="1" s="1"/>
  <c r="M135" i="1" a="1"/>
  <c r="M135" i="1" s="1"/>
  <c r="L135" i="1" a="1"/>
  <c r="L135" i="1" s="1"/>
  <c r="K135" i="1" a="1"/>
  <c r="K135" i="1" s="1"/>
  <c r="F135" i="1" a="1"/>
  <c r="F135" i="1" s="1"/>
  <c r="E135" i="1" a="1"/>
  <c r="E135" i="1" s="1"/>
  <c r="D135" i="1" a="1"/>
  <c r="D135" i="1" s="1"/>
  <c r="C135" i="1" a="1"/>
  <c r="C135" i="1" s="1"/>
  <c r="B135" i="1" a="1"/>
  <c r="B135" i="1" s="1"/>
  <c r="N134" i="1" a="1"/>
  <c r="N134" i="1" s="1"/>
  <c r="M134" i="1" a="1"/>
  <c r="M134" i="1" s="1"/>
  <c r="L134" i="1" a="1"/>
  <c r="L134" i="1" s="1"/>
  <c r="K134" i="1" a="1"/>
  <c r="K134" i="1" s="1"/>
  <c r="F134" i="1" a="1"/>
  <c r="F134" i="1" s="1"/>
  <c r="E134" i="1" a="1"/>
  <c r="E134" i="1" s="1"/>
  <c r="D134" i="1" a="1"/>
  <c r="D134" i="1" s="1"/>
  <c r="C134" i="1" a="1"/>
  <c r="C134" i="1" s="1"/>
  <c r="B134" i="1" a="1"/>
  <c r="B134" i="1" s="1"/>
  <c r="N133" i="1" a="1"/>
  <c r="N133" i="1" s="1"/>
  <c r="M133" i="1" a="1"/>
  <c r="M133" i="1" s="1"/>
  <c r="L133" i="1" a="1"/>
  <c r="L133" i="1" s="1"/>
  <c r="K133" i="1" a="1"/>
  <c r="K133" i="1" s="1"/>
  <c r="F133" i="1" a="1"/>
  <c r="F133" i="1" s="1"/>
  <c r="E133" i="1" a="1"/>
  <c r="E133" i="1" s="1"/>
  <c r="D133" i="1" a="1"/>
  <c r="D133" i="1" s="1"/>
  <c r="C133" i="1" a="1"/>
  <c r="C133" i="1" s="1"/>
  <c r="B133" i="1" a="1"/>
  <c r="B133" i="1" s="1"/>
  <c r="N132" i="1" a="1"/>
  <c r="N132" i="1" s="1"/>
  <c r="M132" i="1" a="1"/>
  <c r="M132" i="1" s="1"/>
  <c r="L132" i="1" a="1"/>
  <c r="L132" i="1" s="1"/>
  <c r="K132" i="1" a="1"/>
  <c r="K132" i="1" s="1"/>
  <c r="F132" i="1" a="1"/>
  <c r="F132" i="1" s="1"/>
  <c r="E132" i="1" a="1"/>
  <c r="E132" i="1" s="1"/>
  <c r="D132" i="1" a="1"/>
  <c r="D132" i="1" s="1"/>
  <c r="C132" i="1" a="1"/>
  <c r="C132" i="1" s="1"/>
  <c r="B132" i="1" a="1"/>
  <c r="B132" i="1" s="1"/>
  <c r="N131" i="1" a="1"/>
  <c r="N131" i="1" s="1"/>
  <c r="M131" i="1" a="1"/>
  <c r="M131" i="1" s="1"/>
  <c r="L131" i="1" a="1"/>
  <c r="L131" i="1" s="1"/>
  <c r="K131" i="1" a="1"/>
  <c r="K131" i="1" s="1"/>
  <c r="F131" i="1" a="1"/>
  <c r="F131" i="1" s="1"/>
  <c r="E131" i="1" a="1"/>
  <c r="E131" i="1" s="1"/>
  <c r="D131" i="1" a="1"/>
  <c r="D131" i="1" s="1"/>
  <c r="C131" i="1" a="1"/>
  <c r="C131" i="1" s="1"/>
  <c r="B131" i="1" a="1"/>
  <c r="B131" i="1" s="1"/>
  <c r="N130" i="1" a="1"/>
  <c r="N130" i="1" s="1"/>
  <c r="M130" i="1" a="1"/>
  <c r="M130" i="1" s="1"/>
  <c r="L130" i="1" a="1"/>
  <c r="L130" i="1" s="1"/>
  <c r="K130" i="1" a="1"/>
  <c r="K130" i="1" s="1"/>
  <c r="F130" i="1" a="1"/>
  <c r="F130" i="1" s="1"/>
  <c r="E130" i="1" a="1"/>
  <c r="E130" i="1" s="1"/>
  <c r="D130" i="1" a="1"/>
  <c r="D130" i="1" s="1"/>
  <c r="C130" i="1" a="1"/>
  <c r="C130" i="1" s="1"/>
  <c r="B130" i="1" a="1"/>
  <c r="B130" i="1" s="1"/>
  <c r="N129" i="1" a="1"/>
  <c r="N129" i="1" s="1"/>
  <c r="M129" i="1" a="1"/>
  <c r="M129" i="1" s="1"/>
  <c r="L129" i="1" a="1"/>
  <c r="L129" i="1" s="1"/>
  <c r="K129" i="1" a="1"/>
  <c r="K129" i="1" s="1"/>
  <c r="F129" i="1" a="1"/>
  <c r="F129" i="1" s="1"/>
  <c r="E129" i="1" a="1"/>
  <c r="E129" i="1" s="1"/>
  <c r="D129" i="1" a="1"/>
  <c r="D129" i="1" s="1"/>
  <c r="C129" i="1" a="1"/>
  <c r="C129" i="1" s="1"/>
  <c r="B129" i="1" a="1"/>
  <c r="B129" i="1" s="1"/>
  <c r="N128" i="1" a="1"/>
  <c r="N128" i="1" s="1"/>
  <c r="M128" i="1" a="1"/>
  <c r="M128" i="1" s="1"/>
  <c r="L128" i="1" a="1"/>
  <c r="L128" i="1" s="1"/>
  <c r="K128" i="1" a="1"/>
  <c r="K128" i="1" s="1"/>
  <c r="F128" i="1" a="1"/>
  <c r="F128" i="1" s="1"/>
  <c r="E128" i="1" a="1"/>
  <c r="E128" i="1" s="1"/>
  <c r="D128" i="1" a="1"/>
  <c r="D128" i="1" s="1"/>
  <c r="C128" i="1" a="1"/>
  <c r="C128" i="1" s="1"/>
  <c r="B128" i="1" a="1"/>
  <c r="B128" i="1" s="1"/>
  <c r="N127" i="1" a="1"/>
  <c r="N127" i="1" s="1"/>
  <c r="M127" i="1" a="1"/>
  <c r="M127" i="1" s="1"/>
  <c r="L127" i="1" a="1"/>
  <c r="L127" i="1" s="1"/>
  <c r="K127" i="1" a="1"/>
  <c r="K127" i="1" s="1"/>
  <c r="F127" i="1" a="1"/>
  <c r="F127" i="1" s="1"/>
  <c r="E127" i="1" a="1"/>
  <c r="E127" i="1" s="1"/>
  <c r="D127" i="1" a="1"/>
  <c r="D127" i="1" s="1"/>
  <c r="C127" i="1" a="1"/>
  <c r="C127" i="1" s="1"/>
  <c r="B127" i="1" a="1"/>
  <c r="B127" i="1" s="1"/>
  <c r="N126" i="1" a="1"/>
  <c r="N126" i="1" s="1"/>
  <c r="M126" i="1" a="1"/>
  <c r="M126" i="1" s="1"/>
  <c r="L126" i="1" a="1"/>
  <c r="L126" i="1" s="1"/>
  <c r="K126" i="1" a="1"/>
  <c r="K126" i="1" s="1"/>
  <c r="F126" i="1" a="1"/>
  <c r="F126" i="1" s="1"/>
  <c r="E126" i="1" a="1"/>
  <c r="E126" i="1" s="1"/>
  <c r="D126" i="1" a="1"/>
  <c r="D126" i="1" s="1"/>
  <c r="C126" i="1" a="1"/>
  <c r="C126" i="1" s="1"/>
  <c r="B126" i="1" a="1"/>
  <c r="B126" i="1" s="1"/>
  <c r="N125" i="1" a="1"/>
  <c r="N125" i="1" s="1"/>
  <c r="M125" i="1" a="1"/>
  <c r="M125" i="1" s="1"/>
  <c r="L125" i="1" a="1"/>
  <c r="L125" i="1" s="1"/>
  <c r="K125" i="1" a="1"/>
  <c r="K125" i="1" s="1"/>
  <c r="F125" i="1" a="1"/>
  <c r="F125" i="1" s="1"/>
  <c r="E125" i="1" a="1"/>
  <c r="E125" i="1" s="1"/>
  <c r="D125" i="1" a="1"/>
  <c r="D125" i="1" s="1"/>
  <c r="C125" i="1" a="1"/>
  <c r="C125" i="1" s="1"/>
  <c r="B125" i="1" a="1"/>
  <c r="B125" i="1" s="1"/>
  <c r="N124" i="1" a="1"/>
  <c r="N124" i="1" s="1"/>
  <c r="M124" i="1" a="1"/>
  <c r="M124" i="1" s="1"/>
  <c r="L124" i="1" a="1"/>
  <c r="L124" i="1" s="1"/>
  <c r="K124" i="1" a="1"/>
  <c r="K124" i="1" s="1"/>
  <c r="F124" i="1" a="1"/>
  <c r="F124" i="1" s="1"/>
  <c r="E124" i="1" a="1"/>
  <c r="E124" i="1" s="1"/>
  <c r="D124" i="1" a="1"/>
  <c r="D124" i="1" s="1"/>
  <c r="C124" i="1" a="1"/>
  <c r="C124" i="1" s="1"/>
  <c r="B124" i="1" a="1"/>
  <c r="B124" i="1" s="1"/>
  <c r="N123" i="1" a="1"/>
  <c r="N123" i="1" s="1"/>
  <c r="M123" i="1" a="1"/>
  <c r="M123" i="1" s="1"/>
  <c r="L123" i="1" a="1"/>
  <c r="L123" i="1" s="1"/>
  <c r="K123" i="1" a="1"/>
  <c r="K123" i="1" s="1"/>
  <c r="F123" i="1" a="1"/>
  <c r="F123" i="1" s="1"/>
  <c r="E123" i="1" a="1"/>
  <c r="E123" i="1" s="1"/>
  <c r="D123" i="1" a="1"/>
  <c r="D123" i="1" s="1"/>
  <c r="C123" i="1" a="1"/>
  <c r="C123" i="1" s="1"/>
  <c r="B123" i="1" a="1"/>
  <c r="B123" i="1" s="1"/>
  <c r="N122" i="1" a="1"/>
  <c r="N122" i="1" s="1"/>
  <c r="M122" i="1" a="1"/>
  <c r="M122" i="1" s="1"/>
  <c r="L122" i="1" a="1"/>
  <c r="L122" i="1" s="1"/>
  <c r="K122" i="1" a="1"/>
  <c r="K122" i="1" s="1"/>
  <c r="F122" i="1" a="1"/>
  <c r="F122" i="1" s="1"/>
  <c r="E122" i="1" a="1"/>
  <c r="E122" i="1" s="1"/>
  <c r="D122" i="1" a="1"/>
  <c r="D122" i="1" s="1"/>
  <c r="C122" i="1" a="1"/>
  <c r="C122" i="1" s="1"/>
  <c r="B122" i="1" a="1"/>
  <c r="B122" i="1" s="1"/>
  <c r="N121" i="1" a="1"/>
  <c r="N121" i="1" s="1"/>
  <c r="M121" i="1" a="1"/>
  <c r="M121" i="1" s="1"/>
  <c r="L121" i="1" a="1"/>
  <c r="L121" i="1" s="1"/>
  <c r="K121" i="1" a="1"/>
  <c r="K121" i="1" s="1"/>
  <c r="F121" i="1" a="1"/>
  <c r="F121" i="1" s="1"/>
  <c r="E121" i="1" a="1"/>
  <c r="E121" i="1" s="1"/>
  <c r="D121" i="1" a="1"/>
  <c r="D121" i="1" s="1"/>
  <c r="C121" i="1" a="1"/>
  <c r="C121" i="1" s="1"/>
  <c r="B121" i="1" a="1"/>
  <c r="B121" i="1" s="1"/>
  <c r="N120" i="1" a="1"/>
  <c r="N120" i="1" s="1"/>
  <c r="M120" i="1" a="1"/>
  <c r="M120" i="1" s="1"/>
  <c r="L120" i="1" a="1"/>
  <c r="L120" i="1" s="1"/>
  <c r="K120" i="1" a="1"/>
  <c r="K120" i="1" s="1"/>
  <c r="F120" i="1" a="1"/>
  <c r="F120" i="1" s="1"/>
  <c r="E120" i="1" a="1"/>
  <c r="E120" i="1" s="1"/>
  <c r="D120" i="1" a="1"/>
  <c r="D120" i="1" s="1"/>
  <c r="C120" i="1" a="1"/>
  <c r="C120" i="1" s="1"/>
  <c r="B120" i="1" a="1"/>
  <c r="B120" i="1" s="1"/>
  <c r="N119" i="1" a="1"/>
  <c r="N119" i="1" s="1"/>
  <c r="M119" i="1" a="1"/>
  <c r="M119" i="1" s="1"/>
  <c r="L119" i="1" a="1"/>
  <c r="L119" i="1" s="1"/>
  <c r="K119" i="1" a="1"/>
  <c r="K119" i="1" s="1"/>
  <c r="F119" i="1" a="1"/>
  <c r="F119" i="1" s="1"/>
  <c r="E119" i="1" a="1"/>
  <c r="E119" i="1" s="1"/>
  <c r="D119" i="1" a="1"/>
  <c r="D119" i="1" s="1"/>
  <c r="C119" i="1" a="1"/>
  <c r="C119" i="1" s="1"/>
  <c r="B119" i="1" a="1"/>
  <c r="B119" i="1" s="1"/>
  <c r="N118" i="1" a="1"/>
  <c r="N118" i="1" s="1"/>
  <c r="M118" i="1" a="1"/>
  <c r="M118" i="1" s="1"/>
  <c r="L118" i="1" a="1"/>
  <c r="L118" i="1" s="1"/>
  <c r="K118" i="1" a="1"/>
  <c r="K118" i="1" s="1"/>
  <c r="F118" i="1" a="1"/>
  <c r="F118" i="1" s="1"/>
  <c r="E118" i="1" a="1"/>
  <c r="E118" i="1" s="1"/>
  <c r="D118" i="1" a="1"/>
  <c r="D118" i="1" s="1"/>
  <c r="C118" i="1" a="1"/>
  <c r="C118" i="1" s="1"/>
  <c r="B118" i="1" a="1"/>
  <c r="B118" i="1" s="1"/>
  <c r="N117" i="1" a="1"/>
  <c r="N117" i="1" s="1"/>
  <c r="M117" i="1" a="1"/>
  <c r="M117" i="1" s="1"/>
  <c r="L117" i="1" a="1"/>
  <c r="L117" i="1" s="1"/>
  <c r="K117" i="1" a="1"/>
  <c r="K117" i="1" s="1"/>
  <c r="F117" i="1" a="1"/>
  <c r="F117" i="1" s="1"/>
  <c r="E117" i="1" a="1"/>
  <c r="E117" i="1" s="1"/>
  <c r="D117" i="1" a="1"/>
  <c r="D117" i="1" s="1"/>
  <c r="C117" i="1" a="1"/>
  <c r="C117" i="1" s="1"/>
  <c r="B117" i="1" a="1"/>
  <c r="B117" i="1" s="1"/>
  <c r="N116" i="1" a="1"/>
  <c r="N116" i="1" s="1"/>
  <c r="M116" i="1" a="1"/>
  <c r="M116" i="1" s="1"/>
  <c r="L116" i="1" a="1"/>
  <c r="L116" i="1" s="1"/>
  <c r="K116" i="1" a="1"/>
  <c r="K116" i="1"/>
  <c r="F116" i="1" a="1"/>
  <c r="F116" i="1" s="1"/>
  <c r="E116" i="1" a="1"/>
  <c r="E116" i="1" s="1"/>
  <c r="D116" i="1" a="1"/>
  <c r="D116" i="1" s="1"/>
  <c r="C116" i="1" a="1"/>
  <c r="C116" i="1" s="1"/>
  <c r="B116" i="1" a="1"/>
  <c r="B116" i="1" s="1"/>
  <c r="N115" i="1" a="1"/>
  <c r="N115" i="1" s="1"/>
  <c r="M115" i="1" a="1"/>
  <c r="M115" i="1" s="1"/>
  <c r="L115" i="1" a="1"/>
  <c r="L115" i="1"/>
  <c r="K115" i="1" a="1"/>
  <c r="K115" i="1" s="1"/>
  <c r="F115" i="1" a="1"/>
  <c r="F115" i="1" s="1"/>
  <c r="E115" i="1" a="1"/>
  <c r="E115" i="1" s="1"/>
  <c r="D115" i="1" a="1"/>
  <c r="D115" i="1" s="1"/>
  <c r="C115" i="1" a="1"/>
  <c r="C115" i="1" s="1"/>
  <c r="B115" i="1" a="1"/>
  <c r="B115" i="1" s="1"/>
  <c r="N114" i="1" a="1"/>
  <c r="N114" i="1" s="1"/>
  <c r="M114" i="1" a="1"/>
  <c r="M114" i="1"/>
  <c r="L114" i="1" a="1"/>
  <c r="L114" i="1" s="1"/>
  <c r="K114" i="1" a="1"/>
  <c r="K114" i="1" s="1"/>
  <c r="F114" i="1" a="1"/>
  <c r="F114" i="1" s="1"/>
  <c r="E114" i="1" a="1"/>
  <c r="E114" i="1" s="1"/>
  <c r="D114" i="1" a="1"/>
  <c r="D114" i="1" s="1"/>
  <c r="C114" i="1" a="1"/>
  <c r="C114" i="1" s="1"/>
  <c r="B114" i="1" a="1"/>
  <c r="B114" i="1" s="1"/>
  <c r="N113" i="1" a="1"/>
  <c r="N113" i="1" s="1"/>
  <c r="M113" i="1" a="1"/>
  <c r="M113" i="1" s="1"/>
  <c r="L113" i="1" a="1"/>
  <c r="L113" i="1" s="1"/>
  <c r="K113" i="1" a="1"/>
  <c r="K113" i="1" s="1"/>
  <c r="F113" i="1" a="1"/>
  <c r="F113" i="1" s="1"/>
  <c r="E113" i="1" a="1"/>
  <c r="E113" i="1" s="1"/>
  <c r="D113" i="1" a="1"/>
  <c r="D113" i="1" s="1"/>
  <c r="C113" i="1" a="1"/>
  <c r="C113" i="1" s="1"/>
  <c r="B113" i="1" a="1"/>
  <c r="B113" i="1" s="1"/>
  <c r="N112" i="1" a="1"/>
  <c r="N112" i="1" s="1"/>
  <c r="M112" i="1" a="1"/>
  <c r="M112" i="1" s="1"/>
  <c r="L112" i="1" a="1"/>
  <c r="L112" i="1" s="1"/>
  <c r="K112" i="1" a="1"/>
  <c r="K112" i="1" s="1"/>
  <c r="F112" i="1" a="1"/>
  <c r="F112" i="1" s="1"/>
  <c r="E112" i="1" a="1"/>
  <c r="E112" i="1" s="1"/>
  <c r="D112" i="1" a="1"/>
  <c r="D112" i="1" s="1"/>
  <c r="C112" i="1" a="1"/>
  <c r="C112" i="1" s="1"/>
  <c r="B112" i="1" a="1"/>
  <c r="B112" i="1" s="1"/>
  <c r="N111" i="1" a="1"/>
  <c r="N111" i="1" s="1"/>
  <c r="M111" i="1" a="1"/>
  <c r="M111" i="1" s="1"/>
  <c r="L111" i="1" a="1"/>
  <c r="L111" i="1" s="1"/>
  <c r="K111" i="1" a="1"/>
  <c r="K111" i="1" s="1"/>
  <c r="F111" i="1" a="1"/>
  <c r="F111" i="1" s="1"/>
  <c r="E111" i="1" a="1"/>
  <c r="E111" i="1" s="1"/>
  <c r="D111" i="1" a="1"/>
  <c r="D111" i="1" s="1"/>
  <c r="C111" i="1" a="1"/>
  <c r="C111" i="1" s="1"/>
  <c r="B111" i="1" a="1"/>
  <c r="B111" i="1" s="1"/>
  <c r="N110" i="1" a="1"/>
  <c r="N110" i="1" s="1"/>
  <c r="M110" i="1" a="1"/>
  <c r="M110" i="1" s="1"/>
  <c r="L110" i="1" a="1"/>
  <c r="L110" i="1" s="1"/>
  <c r="K110" i="1" a="1"/>
  <c r="K110" i="1" s="1"/>
  <c r="F110" i="1" a="1"/>
  <c r="F110" i="1" s="1"/>
  <c r="E110" i="1" a="1"/>
  <c r="E110" i="1" s="1"/>
  <c r="D110" i="1" a="1"/>
  <c r="D110" i="1" s="1"/>
  <c r="C110" i="1" a="1"/>
  <c r="C110" i="1" s="1"/>
  <c r="B110" i="1" a="1"/>
  <c r="B110" i="1" s="1"/>
  <c r="N109" i="1" a="1"/>
  <c r="N109" i="1" s="1"/>
  <c r="M109" i="1" a="1"/>
  <c r="M109" i="1" s="1"/>
  <c r="L109" i="1" a="1"/>
  <c r="L109" i="1" s="1"/>
  <c r="K109" i="1" a="1"/>
  <c r="K109" i="1" s="1"/>
  <c r="F109" i="1" a="1"/>
  <c r="F109" i="1" s="1"/>
  <c r="E109" i="1" a="1"/>
  <c r="E109" i="1" s="1"/>
  <c r="D109" i="1" a="1"/>
  <c r="D109" i="1" s="1"/>
  <c r="C109" i="1" a="1"/>
  <c r="C109" i="1" s="1"/>
  <c r="B109" i="1" a="1"/>
  <c r="B109" i="1" s="1"/>
  <c r="N108" i="1" a="1"/>
  <c r="N108" i="1" s="1"/>
  <c r="M108" i="1" a="1"/>
  <c r="M108" i="1" s="1"/>
  <c r="L108" i="1" a="1"/>
  <c r="L108" i="1" s="1"/>
  <c r="K108" i="1" a="1"/>
  <c r="K108" i="1" s="1"/>
  <c r="F108" i="1" a="1"/>
  <c r="F108" i="1" s="1"/>
  <c r="E108" i="1" a="1"/>
  <c r="E108" i="1" s="1"/>
  <c r="D108" i="1" a="1"/>
  <c r="D108" i="1" s="1"/>
  <c r="C108" i="1" a="1"/>
  <c r="C108" i="1" s="1"/>
  <c r="B108" i="1" a="1"/>
  <c r="B108" i="1" s="1"/>
  <c r="N107" i="1" a="1"/>
  <c r="N107" i="1" s="1"/>
  <c r="M107" i="1" a="1"/>
  <c r="M107" i="1" s="1"/>
  <c r="L107" i="1" a="1"/>
  <c r="L107" i="1" s="1"/>
  <c r="K107" i="1" a="1"/>
  <c r="K107" i="1" s="1"/>
  <c r="F107" i="1" a="1"/>
  <c r="F107" i="1" s="1"/>
  <c r="E107" i="1" a="1"/>
  <c r="E107" i="1" s="1"/>
  <c r="D107" i="1" a="1"/>
  <c r="D107" i="1" s="1"/>
  <c r="C107" i="1" a="1"/>
  <c r="C107" i="1" s="1"/>
  <c r="B107" i="1" a="1"/>
  <c r="B107" i="1" s="1"/>
  <c r="N106" i="1" a="1"/>
  <c r="N106" i="1" s="1"/>
  <c r="M106" i="1" a="1"/>
  <c r="M106" i="1" s="1"/>
  <c r="L106" i="1" a="1"/>
  <c r="L106" i="1" s="1"/>
  <c r="K106" i="1" a="1"/>
  <c r="K106" i="1" s="1"/>
  <c r="F106" i="1" a="1"/>
  <c r="F106" i="1" s="1"/>
  <c r="E106" i="1" a="1"/>
  <c r="E106" i="1" s="1"/>
  <c r="D106" i="1" a="1"/>
  <c r="D106" i="1" s="1"/>
  <c r="C106" i="1" a="1"/>
  <c r="C106" i="1" s="1"/>
  <c r="B106" i="1" a="1"/>
  <c r="B106" i="1" s="1"/>
  <c r="N105" i="1" a="1"/>
  <c r="N105" i="1" s="1"/>
  <c r="M105" i="1" a="1"/>
  <c r="M105" i="1" s="1"/>
  <c r="L105" i="1" a="1"/>
  <c r="L105" i="1" s="1"/>
  <c r="K105" i="1" a="1"/>
  <c r="K105" i="1" s="1"/>
  <c r="F105" i="1" a="1"/>
  <c r="F105" i="1" s="1"/>
  <c r="E105" i="1" a="1"/>
  <c r="E105" i="1" s="1"/>
  <c r="D105" i="1" a="1"/>
  <c r="D105" i="1" s="1"/>
  <c r="C105" i="1" a="1"/>
  <c r="C105" i="1" s="1"/>
  <c r="B105" i="1" a="1"/>
  <c r="B105" i="1" s="1"/>
  <c r="N104" i="1" a="1"/>
  <c r="N104" i="1" s="1"/>
  <c r="M104" i="1" a="1"/>
  <c r="M104" i="1"/>
  <c r="L104" i="1" a="1"/>
  <c r="L104" i="1" s="1"/>
  <c r="K104" i="1" a="1"/>
  <c r="K104" i="1" s="1"/>
  <c r="F104" i="1" a="1"/>
  <c r="F104" i="1" s="1"/>
  <c r="E104" i="1" a="1"/>
  <c r="E104" i="1" s="1"/>
  <c r="D104" i="1" a="1"/>
  <c r="D104" i="1" s="1"/>
  <c r="C104" i="1" a="1"/>
  <c r="C104" i="1" s="1"/>
  <c r="B104" i="1" a="1"/>
  <c r="B104" i="1" s="1"/>
  <c r="N103" i="1" a="1"/>
  <c r="N103" i="1" s="1"/>
  <c r="M103" i="1" a="1"/>
  <c r="M103" i="1" s="1"/>
  <c r="L103" i="1" a="1"/>
  <c r="L103" i="1" s="1"/>
  <c r="K103" i="1" a="1"/>
  <c r="K103" i="1" s="1"/>
  <c r="F103" i="1" a="1"/>
  <c r="F103" i="1" s="1"/>
  <c r="E103" i="1" a="1"/>
  <c r="E103" i="1" s="1"/>
  <c r="D103" i="1" a="1"/>
  <c r="D103" i="1" s="1"/>
  <c r="C103" i="1" a="1"/>
  <c r="C103" i="1" s="1"/>
  <c r="B103" i="1" a="1"/>
  <c r="B103" i="1" s="1"/>
  <c r="N102" i="1" a="1"/>
  <c r="N102" i="1" s="1"/>
  <c r="M102" i="1" a="1"/>
  <c r="M102" i="1" s="1"/>
  <c r="L102" i="1" a="1"/>
  <c r="L102" i="1" s="1"/>
  <c r="K102" i="1" a="1"/>
  <c r="K102" i="1" s="1"/>
  <c r="F102" i="1" a="1"/>
  <c r="F102" i="1" s="1"/>
  <c r="E102" i="1" a="1"/>
  <c r="E102" i="1" s="1"/>
  <c r="D102" i="1" a="1"/>
  <c r="D102" i="1" s="1"/>
  <c r="C102" i="1" a="1"/>
  <c r="C102" i="1" s="1"/>
  <c r="B102" i="1" a="1"/>
  <c r="B102" i="1" s="1"/>
  <c r="N101" i="1" a="1"/>
  <c r="N101" i="1" s="1"/>
  <c r="M101" i="1" a="1"/>
  <c r="M101" i="1" s="1"/>
  <c r="L101" i="1" a="1"/>
  <c r="L101" i="1" s="1"/>
  <c r="K101" i="1" a="1"/>
  <c r="K101" i="1" s="1"/>
  <c r="F101" i="1" a="1"/>
  <c r="F101" i="1" s="1"/>
  <c r="E101" i="1" a="1"/>
  <c r="E101" i="1" s="1"/>
  <c r="D101" i="1" a="1"/>
  <c r="D101" i="1" s="1"/>
  <c r="C101" i="1" a="1"/>
  <c r="C101" i="1" s="1"/>
  <c r="B101" i="1" a="1"/>
  <c r="B101" i="1" s="1"/>
  <c r="N100" i="1" a="1"/>
  <c r="N100" i="1" s="1"/>
  <c r="M100" i="1" a="1"/>
  <c r="M100" i="1" s="1"/>
  <c r="L100" i="1" a="1"/>
  <c r="L100" i="1" s="1"/>
  <c r="K100" i="1" a="1"/>
  <c r="K100" i="1" s="1"/>
  <c r="F100" i="1" a="1"/>
  <c r="F100" i="1" s="1"/>
  <c r="E100" i="1" a="1"/>
  <c r="E100" i="1" s="1"/>
  <c r="D100" i="1" a="1"/>
  <c r="D100" i="1" s="1"/>
  <c r="C100" i="1" a="1"/>
  <c r="C100" i="1" s="1"/>
  <c r="B100" i="1" a="1"/>
  <c r="B100" i="1" s="1"/>
  <c r="N99" i="1" a="1"/>
  <c r="N99" i="1" s="1"/>
  <c r="M99" i="1" a="1"/>
  <c r="M99" i="1" s="1"/>
  <c r="L99" i="1" a="1"/>
  <c r="L99" i="1" s="1"/>
  <c r="K99" i="1" a="1"/>
  <c r="K99" i="1" s="1"/>
  <c r="F99" i="1" a="1"/>
  <c r="F99" i="1" s="1"/>
  <c r="E99" i="1" a="1"/>
  <c r="E99" i="1" s="1"/>
  <c r="D99" i="1" a="1"/>
  <c r="D99" i="1" s="1"/>
  <c r="C99" i="1" a="1"/>
  <c r="C99" i="1" s="1"/>
  <c r="B99" i="1" a="1"/>
  <c r="B99" i="1" s="1"/>
  <c r="N98" i="1" a="1"/>
  <c r="N98" i="1" s="1"/>
  <c r="M98" i="1" a="1"/>
  <c r="M98" i="1" s="1"/>
  <c r="L98" i="1" a="1"/>
  <c r="L98" i="1" s="1"/>
  <c r="K98" i="1" a="1"/>
  <c r="K98" i="1"/>
  <c r="F98" i="1" a="1"/>
  <c r="F98" i="1" s="1"/>
  <c r="E98" i="1" a="1"/>
  <c r="E98" i="1" s="1"/>
  <c r="D98" i="1" a="1"/>
  <c r="D98" i="1" s="1"/>
  <c r="C98" i="1" a="1"/>
  <c r="C98" i="1" s="1"/>
  <c r="B98" i="1" a="1"/>
  <c r="B98" i="1" s="1"/>
  <c r="N97" i="1" a="1"/>
  <c r="N97" i="1" s="1"/>
  <c r="M97" i="1" a="1"/>
  <c r="M97" i="1" s="1"/>
  <c r="L97" i="1" a="1"/>
  <c r="L97" i="1" s="1"/>
  <c r="K97" i="1" a="1"/>
  <c r="K97" i="1" s="1"/>
  <c r="F97" i="1" a="1"/>
  <c r="F97" i="1" s="1"/>
  <c r="E97" i="1" a="1"/>
  <c r="E97" i="1" s="1"/>
  <c r="D97" i="1" a="1"/>
  <c r="D97" i="1" s="1"/>
  <c r="C97" i="1" a="1"/>
  <c r="C97" i="1" s="1"/>
  <c r="B97" i="1" a="1"/>
  <c r="B97" i="1" s="1"/>
  <c r="N96" i="1" a="1"/>
  <c r="N96" i="1" s="1"/>
  <c r="M96" i="1" a="1"/>
  <c r="M96" i="1" s="1"/>
  <c r="L96" i="1" a="1"/>
  <c r="L96" i="1" s="1"/>
  <c r="K96" i="1" a="1"/>
  <c r="K96" i="1" s="1"/>
  <c r="F96" i="1" a="1"/>
  <c r="F96" i="1" s="1"/>
  <c r="E96" i="1" a="1"/>
  <c r="E96" i="1" s="1"/>
  <c r="D96" i="1" a="1"/>
  <c r="D96" i="1" s="1"/>
  <c r="C96" i="1" a="1"/>
  <c r="C96" i="1" s="1"/>
  <c r="B96" i="1" a="1"/>
  <c r="B96" i="1" s="1"/>
  <c r="N95" i="1" a="1"/>
  <c r="N95" i="1" s="1"/>
  <c r="M95" i="1" a="1"/>
  <c r="M95" i="1" s="1"/>
  <c r="L95" i="1" a="1"/>
  <c r="L95" i="1" s="1"/>
  <c r="K95" i="1" a="1"/>
  <c r="K95" i="1" s="1"/>
  <c r="F95" i="1" a="1"/>
  <c r="F95" i="1" s="1"/>
  <c r="E95" i="1" a="1"/>
  <c r="E95" i="1" s="1"/>
  <c r="D95" i="1" a="1"/>
  <c r="D95" i="1" s="1"/>
  <c r="C95" i="1" a="1"/>
  <c r="C95" i="1" s="1"/>
  <c r="B95" i="1" a="1"/>
  <c r="B95" i="1" s="1"/>
  <c r="N94" i="1" a="1"/>
  <c r="N94" i="1" s="1"/>
  <c r="M94" i="1" a="1"/>
  <c r="M94" i="1" s="1"/>
  <c r="L94" i="1" a="1"/>
  <c r="L94" i="1" s="1"/>
  <c r="K94" i="1" a="1"/>
  <c r="K94" i="1" s="1"/>
  <c r="F94" i="1" a="1"/>
  <c r="F94" i="1" s="1"/>
  <c r="E94" i="1" a="1"/>
  <c r="E94" i="1"/>
  <c r="D94" i="1" a="1"/>
  <c r="D94" i="1" s="1"/>
  <c r="C94" i="1" a="1"/>
  <c r="C94" i="1" s="1"/>
  <c r="B94" i="1" a="1"/>
  <c r="B94" i="1" s="1"/>
  <c r="N93" i="1" a="1"/>
  <c r="N93" i="1" s="1"/>
  <c r="M93" i="1" a="1"/>
  <c r="M93" i="1" s="1"/>
  <c r="L93" i="1" a="1"/>
  <c r="L93" i="1" s="1"/>
  <c r="K93" i="1" a="1"/>
  <c r="K93" i="1" s="1"/>
  <c r="F93" i="1" a="1"/>
  <c r="F93" i="1" s="1"/>
  <c r="E93" i="1" a="1"/>
  <c r="E93" i="1" s="1"/>
  <c r="D93" i="1" a="1"/>
  <c r="D93" i="1" s="1"/>
  <c r="C93" i="1" a="1"/>
  <c r="C93" i="1" s="1"/>
  <c r="B93" i="1" a="1"/>
  <c r="B93" i="1" s="1"/>
  <c r="N92" i="1" a="1"/>
  <c r="N92" i="1" s="1"/>
  <c r="M92" i="1" a="1"/>
  <c r="M92" i="1" s="1"/>
  <c r="L92" i="1" a="1"/>
  <c r="L92" i="1" s="1"/>
  <c r="K92" i="1" a="1"/>
  <c r="K92" i="1" s="1"/>
  <c r="F92" i="1" a="1"/>
  <c r="F92" i="1" s="1"/>
  <c r="E92" i="1" a="1"/>
  <c r="E92" i="1" s="1"/>
  <c r="D92" i="1" a="1"/>
  <c r="D92" i="1" s="1"/>
  <c r="C92" i="1" a="1"/>
  <c r="C92" i="1" s="1"/>
  <c r="B92" i="1" a="1"/>
  <c r="B92" i="1" s="1"/>
  <c r="N91" i="1" a="1"/>
  <c r="N91" i="1" s="1"/>
  <c r="M91" i="1" a="1"/>
  <c r="M91" i="1" s="1"/>
  <c r="L91" i="1" a="1"/>
  <c r="L91" i="1" s="1"/>
  <c r="K91" i="1" a="1"/>
  <c r="K91" i="1" s="1"/>
  <c r="F91" i="1" a="1"/>
  <c r="F91" i="1" s="1"/>
  <c r="E91" i="1" a="1"/>
  <c r="E91" i="1" s="1"/>
  <c r="D91" i="1" a="1"/>
  <c r="D91" i="1" s="1"/>
  <c r="C91" i="1" a="1"/>
  <c r="C91" i="1" s="1"/>
  <c r="B91" i="1" a="1"/>
  <c r="B91" i="1" s="1"/>
  <c r="N90" i="1" a="1"/>
  <c r="N90" i="1" s="1"/>
  <c r="M90" i="1" a="1"/>
  <c r="M90" i="1" s="1"/>
  <c r="L90" i="1" a="1"/>
  <c r="L90" i="1" s="1"/>
  <c r="K90" i="1" a="1"/>
  <c r="K90" i="1" s="1"/>
  <c r="F90" i="1" a="1"/>
  <c r="F90" i="1" s="1"/>
  <c r="E90" i="1" a="1"/>
  <c r="E90" i="1" s="1"/>
  <c r="D90" i="1" a="1"/>
  <c r="D90" i="1" s="1"/>
  <c r="C90" i="1" a="1"/>
  <c r="C90" i="1" s="1"/>
  <c r="B90" i="1" a="1"/>
  <c r="B90" i="1" s="1"/>
  <c r="N89" i="1" a="1"/>
  <c r="N89" i="1" s="1"/>
  <c r="M89" i="1" a="1"/>
  <c r="M89" i="1" s="1"/>
  <c r="L89" i="1" a="1"/>
  <c r="L89" i="1" s="1"/>
  <c r="K89" i="1" a="1"/>
  <c r="K89" i="1" s="1"/>
  <c r="F89" i="1" a="1"/>
  <c r="F89" i="1" s="1"/>
  <c r="E89" i="1" a="1"/>
  <c r="E89" i="1" s="1"/>
  <c r="D89" i="1" a="1"/>
  <c r="D89" i="1" s="1"/>
  <c r="C89" i="1" a="1"/>
  <c r="C89" i="1" s="1"/>
  <c r="B89" i="1" a="1"/>
  <c r="B89" i="1" s="1"/>
  <c r="N88" i="1" a="1"/>
  <c r="N88" i="1" s="1"/>
  <c r="M88" i="1" a="1"/>
  <c r="M88" i="1" s="1"/>
  <c r="L88" i="1" a="1"/>
  <c r="L88" i="1" s="1"/>
  <c r="K88" i="1" a="1"/>
  <c r="K88" i="1" s="1"/>
  <c r="F88" i="1" a="1"/>
  <c r="F88" i="1" s="1"/>
  <c r="E88" i="1" a="1"/>
  <c r="E88" i="1" s="1"/>
  <c r="D88" i="1" a="1"/>
  <c r="D88" i="1" s="1"/>
  <c r="C88" i="1" a="1"/>
  <c r="C88" i="1" s="1"/>
  <c r="B88" i="1" a="1"/>
  <c r="B88" i="1" s="1"/>
  <c r="N87" i="1" a="1"/>
  <c r="N87" i="1" s="1"/>
  <c r="M87" i="1" a="1"/>
  <c r="M87" i="1" s="1"/>
  <c r="L87" i="1" a="1"/>
  <c r="L87" i="1" s="1"/>
  <c r="K87" i="1" a="1"/>
  <c r="K87" i="1" s="1"/>
  <c r="F87" i="1" a="1"/>
  <c r="F87" i="1" s="1"/>
  <c r="E87" i="1" a="1"/>
  <c r="E87" i="1" s="1"/>
  <c r="D87" i="1" a="1"/>
  <c r="D87" i="1" s="1"/>
  <c r="C87" i="1" a="1"/>
  <c r="C87" i="1" s="1"/>
  <c r="B87" i="1" a="1"/>
  <c r="B87" i="1" s="1"/>
  <c r="N86" i="1" a="1"/>
  <c r="N86" i="1" s="1"/>
  <c r="M86" i="1" a="1"/>
  <c r="M86" i="1" s="1"/>
  <c r="L86" i="1" a="1"/>
  <c r="L86" i="1" s="1"/>
  <c r="K86" i="1" a="1"/>
  <c r="K86" i="1" s="1"/>
  <c r="F86" i="1" a="1"/>
  <c r="F86" i="1" s="1"/>
  <c r="E86" i="1" a="1"/>
  <c r="E86" i="1" s="1"/>
  <c r="D86" i="1" a="1"/>
  <c r="D86" i="1" s="1"/>
  <c r="C86" i="1" a="1"/>
  <c r="C86" i="1" s="1"/>
  <c r="B86" i="1" a="1"/>
  <c r="B86" i="1" s="1"/>
  <c r="N85" i="1" a="1"/>
  <c r="N85" i="1" s="1"/>
  <c r="M85" i="1" a="1"/>
  <c r="M85" i="1" s="1"/>
  <c r="L85" i="1" a="1"/>
  <c r="L85" i="1" s="1"/>
  <c r="K85" i="1" a="1"/>
  <c r="K85" i="1" s="1"/>
  <c r="F85" i="1" a="1"/>
  <c r="F85" i="1" s="1"/>
  <c r="E85" i="1" a="1"/>
  <c r="E85" i="1" s="1"/>
  <c r="D85" i="1" a="1"/>
  <c r="D85" i="1" s="1"/>
  <c r="C85" i="1" a="1"/>
  <c r="C85" i="1" s="1"/>
  <c r="B85" i="1" a="1"/>
  <c r="B85" i="1" s="1"/>
  <c r="N84" i="1" a="1"/>
  <c r="N84" i="1" s="1"/>
  <c r="M84" i="1" a="1"/>
  <c r="M84" i="1" s="1"/>
  <c r="L84" i="1" a="1"/>
  <c r="L84" i="1" s="1"/>
  <c r="K84" i="1" a="1"/>
  <c r="K84" i="1" s="1"/>
  <c r="F84" i="1" a="1"/>
  <c r="F84" i="1" s="1"/>
  <c r="E84" i="1" a="1"/>
  <c r="E84" i="1" s="1"/>
  <c r="D84" i="1" a="1"/>
  <c r="D84" i="1" s="1"/>
  <c r="C84" i="1" a="1"/>
  <c r="C84" i="1" s="1"/>
  <c r="B84" i="1" a="1"/>
  <c r="B84" i="1" s="1"/>
  <c r="N83" i="1" a="1"/>
  <c r="N83" i="1" s="1"/>
  <c r="M83" i="1" a="1"/>
  <c r="M83" i="1" s="1"/>
  <c r="L83" i="1" a="1"/>
  <c r="L83" i="1" s="1"/>
  <c r="K83" i="1" a="1"/>
  <c r="K83" i="1" s="1"/>
  <c r="F83" i="1" a="1"/>
  <c r="F83" i="1" s="1"/>
  <c r="E83" i="1" a="1"/>
  <c r="E83" i="1" s="1"/>
  <c r="D83" i="1" a="1"/>
  <c r="D83" i="1" s="1"/>
  <c r="C83" i="1" a="1"/>
  <c r="C83" i="1" s="1"/>
  <c r="B83" i="1" a="1"/>
  <c r="B83" i="1" s="1"/>
  <c r="N82" i="1" a="1"/>
  <c r="N82" i="1" s="1"/>
  <c r="M82" i="1" a="1"/>
  <c r="M82" i="1" s="1"/>
  <c r="L82" i="1" a="1"/>
  <c r="L82" i="1" s="1"/>
  <c r="K82" i="1" a="1"/>
  <c r="K82" i="1" s="1"/>
  <c r="F82" i="1" a="1"/>
  <c r="F82" i="1" s="1"/>
  <c r="E82" i="1" a="1"/>
  <c r="E82" i="1" s="1"/>
  <c r="D82" i="1" a="1"/>
  <c r="D82" i="1" s="1"/>
  <c r="C82" i="1" a="1"/>
  <c r="C82" i="1" s="1"/>
  <c r="B82" i="1" a="1"/>
  <c r="B82" i="1" s="1"/>
  <c r="N81" i="1" a="1"/>
  <c r="N81" i="1" s="1"/>
  <c r="M81" i="1" a="1"/>
  <c r="M81" i="1" s="1"/>
  <c r="L81" i="1" a="1"/>
  <c r="L81" i="1" s="1"/>
  <c r="K81" i="1" a="1"/>
  <c r="K81" i="1" s="1"/>
  <c r="F81" i="1" a="1"/>
  <c r="F81" i="1"/>
  <c r="E81" i="1" a="1"/>
  <c r="E81" i="1" s="1"/>
  <c r="D81" i="1" a="1"/>
  <c r="D81" i="1" s="1"/>
  <c r="C81" i="1" a="1"/>
  <c r="C81" i="1" s="1"/>
  <c r="B81" i="1" a="1"/>
  <c r="B81" i="1" s="1"/>
  <c r="N80" i="1" a="1"/>
  <c r="N80" i="1" s="1"/>
  <c r="M80" i="1" a="1"/>
  <c r="M80" i="1" s="1"/>
  <c r="L80" i="1" a="1"/>
  <c r="L80" i="1" s="1"/>
  <c r="K80" i="1" a="1"/>
  <c r="K80" i="1" s="1"/>
  <c r="F80" i="1" a="1"/>
  <c r="F80" i="1" s="1"/>
  <c r="E80" i="1" a="1"/>
  <c r="E80" i="1" s="1"/>
  <c r="D80" i="1" a="1"/>
  <c r="D80" i="1" s="1"/>
  <c r="C80" i="1" a="1"/>
  <c r="C80" i="1"/>
  <c r="B80" i="1" a="1"/>
  <c r="B80" i="1" s="1"/>
  <c r="N79" i="1" a="1"/>
  <c r="N79" i="1" s="1"/>
  <c r="M79" i="1" a="1"/>
  <c r="M79" i="1" s="1"/>
  <c r="L79" i="1" a="1"/>
  <c r="L79" i="1" s="1"/>
  <c r="K79" i="1" a="1"/>
  <c r="K79" i="1" s="1"/>
  <c r="F79" i="1" a="1"/>
  <c r="F79" i="1" s="1"/>
  <c r="E79" i="1" a="1"/>
  <c r="E79" i="1" s="1"/>
  <c r="D79" i="1" a="1"/>
  <c r="D79" i="1" s="1"/>
  <c r="C79" i="1" a="1"/>
  <c r="C79" i="1" s="1"/>
  <c r="B79" i="1" a="1"/>
  <c r="B79" i="1" s="1"/>
  <c r="N78" i="1" a="1"/>
  <c r="N78" i="1" s="1"/>
  <c r="M78" i="1" a="1"/>
  <c r="M78" i="1" s="1"/>
  <c r="L78" i="1" a="1"/>
  <c r="L78" i="1" s="1"/>
  <c r="K78" i="1" a="1"/>
  <c r="K78" i="1" s="1"/>
  <c r="F78" i="1" a="1"/>
  <c r="F78" i="1" s="1"/>
  <c r="E78" i="1" a="1"/>
  <c r="E78" i="1"/>
  <c r="D78" i="1" a="1"/>
  <c r="D78" i="1" s="1"/>
  <c r="C78" i="1" a="1"/>
  <c r="C78" i="1" s="1"/>
  <c r="B78" i="1" a="1"/>
  <c r="B78" i="1" s="1"/>
  <c r="N77" i="1" a="1"/>
  <c r="N77" i="1" s="1"/>
  <c r="M77" i="1" a="1"/>
  <c r="M77" i="1" s="1"/>
  <c r="L77" i="1" a="1"/>
  <c r="L77" i="1" s="1"/>
  <c r="K77" i="1" a="1"/>
  <c r="K77" i="1" s="1"/>
  <c r="F77" i="1" a="1"/>
  <c r="F77" i="1" s="1"/>
  <c r="E77" i="1" a="1"/>
  <c r="E77" i="1" s="1"/>
  <c r="D77" i="1" a="1"/>
  <c r="D77" i="1" s="1"/>
  <c r="C77" i="1" a="1"/>
  <c r="C77" i="1" s="1"/>
  <c r="B77" i="1" a="1"/>
  <c r="B77" i="1" s="1"/>
  <c r="N76" i="1" a="1"/>
  <c r="N76" i="1" s="1"/>
  <c r="M76" i="1" a="1"/>
  <c r="M76" i="1" s="1"/>
  <c r="L76" i="1" a="1"/>
  <c r="L76" i="1" s="1"/>
  <c r="K76" i="1" a="1"/>
  <c r="K76" i="1" s="1"/>
  <c r="F76" i="1" a="1"/>
  <c r="F76" i="1" s="1"/>
  <c r="E76" i="1" a="1"/>
  <c r="E76" i="1" s="1"/>
  <c r="D76" i="1" a="1"/>
  <c r="D76" i="1" s="1"/>
  <c r="C76" i="1" a="1"/>
  <c r="C76" i="1" s="1"/>
  <c r="B76" i="1" a="1"/>
  <c r="B76" i="1" s="1"/>
  <c r="N75" i="1" a="1"/>
  <c r="N75" i="1" s="1"/>
  <c r="M75" i="1" a="1"/>
  <c r="M75" i="1" s="1"/>
  <c r="L75" i="1" a="1"/>
  <c r="L75" i="1" s="1"/>
  <c r="K75" i="1" a="1"/>
  <c r="K75" i="1" s="1"/>
  <c r="F75" i="1" a="1"/>
  <c r="F75" i="1" s="1"/>
  <c r="E75" i="1" a="1"/>
  <c r="E75" i="1" s="1"/>
  <c r="D75" i="1" a="1"/>
  <c r="D75" i="1" s="1"/>
  <c r="C75" i="1" a="1"/>
  <c r="C75" i="1" s="1"/>
  <c r="B75" i="1" a="1"/>
  <c r="B75" i="1" s="1"/>
  <c r="N74" i="1" a="1"/>
  <c r="N74" i="1" s="1"/>
  <c r="M74" i="1" a="1"/>
  <c r="M74" i="1" s="1"/>
  <c r="L74" i="1" a="1"/>
  <c r="L74" i="1" s="1"/>
  <c r="K74" i="1" a="1"/>
  <c r="K74" i="1" s="1"/>
  <c r="F74" i="1" a="1"/>
  <c r="F74" i="1" s="1"/>
  <c r="E74" i="1" a="1"/>
  <c r="E74" i="1" s="1"/>
  <c r="D74" i="1" a="1"/>
  <c r="D74" i="1" s="1"/>
  <c r="C74" i="1" a="1"/>
  <c r="C74" i="1" s="1"/>
  <c r="B74" i="1" a="1"/>
  <c r="B74" i="1" s="1"/>
  <c r="N73" i="1" a="1"/>
  <c r="N73" i="1" s="1"/>
  <c r="M73" i="1" a="1"/>
  <c r="M73" i="1" s="1"/>
  <c r="L73" i="1" a="1"/>
  <c r="L73" i="1" s="1"/>
  <c r="K73" i="1" a="1"/>
  <c r="K73" i="1" s="1"/>
  <c r="F73" i="1" a="1"/>
  <c r="F73" i="1" s="1"/>
  <c r="E73" i="1" a="1"/>
  <c r="E73" i="1" s="1"/>
  <c r="D73" i="1" a="1"/>
  <c r="D73" i="1" s="1"/>
  <c r="C73" i="1" a="1"/>
  <c r="C73" i="1" s="1"/>
  <c r="B73" i="1" a="1"/>
  <c r="B73" i="1" s="1"/>
  <c r="N72" i="1" a="1"/>
  <c r="N72" i="1" s="1"/>
  <c r="M72" i="1" a="1"/>
  <c r="M72" i="1" s="1"/>
  <c r="L72" i="1" a="1"/>
  <c r="L72" i="1" s="1"/>
  <c r="K72" i="1" a="1"/>
  <c r="K72" i="1" s="1"/>
  <c r="F72" i="1" a="1"/>
  <c r="F72" i="1" s="1"/>
  <c r="E72" i="1" a="1"/>
  <c r="E72" i="1" s="1"/>
  <c r="D72" i="1" a="1"/>
  <c r="D72" i="1" s="1"/>
  <c r="C72" i="1" a="1"/>
  <c r="C72" i="1" s="1"/>
  <c r="B72" i="1" a="1"/>
  <c r="B72" i="1" s="1"/>
  <c r="N71" i="1" a="1"/>
  <c r="N71" i="1" s="1"/>
  <c r="M71" i="1" a="1"/>
  <c r="M71" i="1" s="1"/>
  <c r="L71" i="1" a="1"/>
  <c r="L71" i="1" s="1"/>
  <c r="K71" i="1" a="1"/>
  <c r="K71" i="1" s="1"/>
  <c r="F71" i="1" a="1"/>
  <c r="F71" i="1" s="1"/>
  <c r="E71" i="1" a="1"/>
  <c r="E71" i="1" s="1"/>
  <c r="D71" i="1" a="1"/>
  <c r="D71" i="1" s="1"/>
  <c r="C71" i="1" a="1"/>
  <c r="C71" i="1" s="1"/>
  <c r="B71" i="1" a="1"/>
  <c r="B71" i="1" s="1"/>
  <c r="N70" i="1" a="1"/>
  <c r="N70" i="1" s="1"/>
  <c r="M70" i="1" a="1"/>
  <c r="M70" i="1" s="1"/>
  <c r="L70" i="1" a="1"/>
  <c r="L70" i="1" s="1"/>
  <c r="K70" i="1" a="1"/>
  <c r="K70" i="1" s="1"/>
  <c r="F70" i="1" a="1"/>
  <c r="F70" i="1" s="1"/>
  <c r="E70" i="1" a="1"/>
  <c r="E70" i="1" s="1"/>
  <c r="D70" i="1" a="1"/>
  <c r="D70" i="1" s="1"/>
  <c r="C70" i="1" a="1"/>
  <c r="C70" i="1" s="1"/>
  <c r="B70" i="1" a="1"/>
  <c r="B70" i="1" s="1"/>
  <c r="N69" i="1" a="1"/>
  <c r="N69" i="1" s="1"/>
  <c r="M69" i="1" a="1"/>
  <c r="M69" i="1" s="1"/>
  <c r="L69" i="1" a="1"/>
  <c r="L69" i="1" s="1"/>
  <c r="K69" i="1" a="1"/>
  <c r="K69" i="1" s="1"/>
  <c r="F69" i="1" a="1"/>
  <c r="F69" i="1" s="1"/>
  <c r="E69" i="1" a="1"/>
  <c r="E69" i="1" s="1"/>
  <c r="D69" i="1" a="1"/>
  <c r="D69" i="1" s="1"/>
  <c r="C69" i="1" a="1"/>
  <c r="C69" i="1" s="1"/>
  <c r="B69" i="1" a="1"/>
  <c r="B69" i="1" s="1"/>
  <c r="N68" i="1" a="1"/>
  <c r="N68" i="1" s="1"/>
  <c r="M68" i="1" a="1"/>
  <c r="M68" i="1" s="1"/>
  <c r="L68" i="1" a="1"/>
  <c r="L68" i="1" s="1"/>
  <c r="K68" i="1" a="1"/>
  <c r="K68" i="1" s="1"/>
  <c r="F68" i="1" a="1"/>
  <c r="F68" i="1" s="1"/>
  <c r="E68" i="1" a="1"/>
  <c r="E68" i="1" s="1"/>
  <c r="D68" i="1" a="1"/>
  <c r="D68" i="1" s="1"/>
  <c r="C68" i="1" a="1"/>
  <c r="C68" i="1" s="1"/>
  <c r="B68" i="1" a="1"/>
  <c r="B68" i="1" s="1"/>
  <c r="N67" i="1" a="1"/>
  <c r="N67" i="1" s="1"/>
  <c r="M67" i="1" a="1"/>
  <c r="M67" i="1" s="1"/>
  <c r="L67" i="1" a="1"/>
  <c r="L67" i="1" s="1"/>
  <c r="K67" i="1" a="1"/>
  <c r="K67" i="1" s="1"/>
  <c r="F67" i="1" a="1"/>
  <c r="F67" i="1" s="1"/>
  <c r="E67" i="1" a="1"/>
  <c r="E67" i="1" s="1"/>
  <c r="D67" i="1" a="1"/>
  <c r="D67" i="1" s="1"/>
  <c r="C67" i="1" a="1"/>
  <c r="C67" i="1" s="1"/>
  <c r="B67" i="1" a="1"/>
  <c r="B67" i="1" s="1"/>
  <c r="N66" i="1" a="1"/>
  <c r="N66" i="1" s="1"/>
  <c r="M66" i="1" a="1"/>
  <c r="M66" i="1" s="1"/>
  <c r="L66" i="1" a="1"/>
  <c r="L66" i="1" s="1"/>
  <c r="K66" i="1" a="1"/>
  <c r="K66" i="1" s="1"/>
  <c r="F66" i="1" a="1"/>
  <c r="F66" i="1" s="1"/>
  <c r="E66" i="1" a="1"/>
  <c r="E66" i="1" s="1"/>
  <c r="D66" i="1" a="1"/>
  <c r="D66" i="1" s="1"/>
  <c r="C66" i="1" a="1"/>
  <c r="C66" i="1" s="1"/>
  <c r="B66" i="1" a="1"/>
  <c r="B66" i="1" s="1"/>
  <c r="N65" i="1" a="1"/>
  <c r="N65" i="1" s="1"/>
  <c r="M65" i="1" a="1"/>
  <c r="M65" i="1" s="1"/>
  <c r="L65" i="1" a="1"/>
  <c r="L65" i="1" s="1"/>
  <c r="K65" i="1" a="1"/>
  <c r="K65" i="1" s="1"/>
  <c r="F65" i="1" a="1"/>
  <c r="F65" i="1" s="1"/>
  <c r="E65" i="1" a="1"/>
  <c r="E65" i="1" s="1"/>
  <c r="D65" i="1" a="1"/>
  <c r="D65" i="1" s="1"/>
  <c r="C65" i="1" a="1"/>
  <c r="C65" i="1" s="1"/>
  <c r="B65" i="1" a="1"/>
  <c r="B65" i="1" s="1"/>
  <c r="N64" i="1" a="1"/>
  <c r="N64" i="1" s="1"/>
  <c r="M64" i="1" a="1"/>
  <c r="M64" i="1" s="1"/>
  <c r="L64" i="1" a="1"/>
  <c r="L64" i="1" s="1"/>
  <c r="K64" i="1" a="1"/>
  <c r="K64" i="1" s="1"/>
  <c r="F64" i="1" a="1"/>
  <c r="F64" i="1" s="1"/>
  <c r="E64" i="1" a="1"/>
  <c r="E64" i="1" s="1"/>
  <c r="D64" i="1" a="1"/>
  <c r="D64" i="1" s="1"/>
  <c r="C64" i="1" a="1"/>
  <c r="C64" i="1" s="1"/>
  <c r="B64" i="1" a="1"/>
  <c r="B64" i="1" s="1"/>
  <c r="N63" i="1" a="1"/>
  <c r="N63" i="1" s="1"/>
  <c r="M63" i="1" a="1"/>
  <c r="M63" i="1" s="1"/>
  <c r="L63" i="1" a="1"/>
  <c r="L63" i="1" s="1"/>
  <c r="K63" i="1" a="1"/>
  <c r="K63" i="1" s="1"/>
  <c r="F63" i="1" a="1"/>
  <c r="F63" i="1" s="1"/>
  <c r="E63" i="1" a="1"/>
  <c r="E63" i="1" s="1"/>
  <c r="D63" i="1" a="1"/>
  <c r="D63" i="1" s="1"/>
  <c r="C63" i="1" a="1"/>
  <c r="C63" i="1" s="1"/>
  <c r="B63" i="1" a="1"/>
  <c r="B63" i="1" s="1"/>
  <c r="N62" i="1" a="1"/>
  <c r="N62" i="1" s="1"/>
  <c r="M62" i="1" a="1"/>
  <c r="M62" i="1" s="1"/>
  <c r="L62" i="1" a="1"/>
  <c r="L62" i="1" s="1"/>
  <c r="K62" i="1" a="1"/>
  <c r="K62" i="1" s="1"/>
  <c r="F62" i="1" a="1"/>
  <c r="F62" i="1" s="1"/>
  <c r="E62" i="1" a="1"/>
  <c r="E62" i="1" s="1"/>
  <c r="D62" i="1" a="1"/>
  <c r="D62" i="1" s="1"/>
  <c r="C62" i="1" a="1"/>
  <c r="C62" i="1" s="1"/>
  <c r="B62" i="1" a="1"/>
  <c r="B62" i="1" s="1"/>
  <c r="N61" i="1" a="1"/>
  <c r="N61" i="1" s="1"/>
  <c r="M61" i="1" a="1"/>
  <c r="M61" i="1" s="1"/>
  <c r="L61" i="1" a="1"/>
  <c r="L61" i="1" s="1"/>
  <c r="K61" i="1" a="1"/>
  <c r="K61" i="1" s="1"/>
  <c r="F61" i="1" a="1"/>
  <c r="F61" i="1" s="1"/>
  <c r="E61" i="1" a="1"/>
  <c r="E61" i="1" s="1"/>
  <c r="D61" i="1" a="1"/>
  <c r="D61" i="1" s="1"/>
  <c r="C61" i="1" a="1"/>
  <c r="C61" i="1" s="1"/>
  <c r="B61" i="1" a="1"/>
  <c r="B61" i="1" s="1"/>
  <c r="N60" i="1" a="1"/>
  <c r="N60" i="1" s="1"/>
  <c r="M60" i="1" a="1"/>
  <c r="M60" i="1" s="1"/>
  <c r="L60" i="1" a="1"/>
  <c r="L60" i="1" s="1"/>
  <c r="K60" i="1" a="1"/>
  <c r="K60" i="1" s="1"/>
  <c r="F60" i="1" a="1"/>
  <c r="F60" i="1" s="1"/>
  <c r="E60" i="1" a="1"/>
  <c r="E60" i="1" s="1"/>
  <c r="D60" i="1" a="1"/>
  <c r="D60" i="1" s="1"/>
  <c r="C60" i="1" a="1"/>
  <c r="C60" i="1" s="1"/>
  <c r="B60" i="1" a="1"/>
  <c r="B60" i="1" s="1"/>
  <c r="N59" i="1" a="1"/>
  <c r="N59" i="1" s="1"/>
  <c r="M59" i="1" a="1"/>
  <c r="M59" i="1" s="1"/>
  <c r="L59" i="1" a="1"/>
  <c r="L59" i="1" s="1"/>
  <c r="K59" i="1" a="1"/>
  <c r="K59" i="1" s="1"/>
  <c r="F59" i="1" a="1"/>
  <c r="F59" i="1" s="1"/>
  <c r="E59" i="1" a="1"/>
  <c r="E59" i="1" s="1"/>
  <c r="D59" i="1" a="1"/>
  <c r="D59" i="1" s="1"/>
  <c r="C59" i="1" a="1"/>
  <c r="C59" i="1" s="1"/>
  <c r="B59" i="1" a="1"/>
  <c r="B59" i="1" s="1"/>
  <c r="N58" i="1" a="1"/>
  <c r="N58" i="1" s="1"/>
  <c r="M58" i="1" a="1"/>
  <c r="M58" i="1" s="1"/>
  <c r="L58" i="1" a="1"/>
  <c r="L58" i="1" s="1"/>
  <c r="K58" i="1" a="1"/>
  <c r="K58" i="1" s="1"/>
  <c r="F58" i="1" a="1"/>
  <c r="F58" i="1" s="1"/>
  <c r="E58" i="1" a="1"/>
  <c r="E58" i="1" s="1"/>
  <c r="D58" i="1" a="1"/>
  <c r="D58" i="1" s="1"/>
  <c r="C58" i="1" a="1"/>
  <c r="C58" i="1" s="1"/>
  <c r="B58" i="1" a="1"/>
  <c r="B58" i="1" s="1"/>
  <c r="N57" i="1" a="1"/>
  <c r="N57" i="1" s="1"/>
  <c r="M57" i="1" a="1"/>
  <c r="M57" i="1" s="1"/>
  <c r="L57" i="1" a="1"/>
  <c r="L57" i="1" s="1"/>
  <c r="K57" i="1" a="1"/>
  <c r="K57" i="1" s="1"/>
  <c r="F57" i="1" a="1"/>
  <c r="F57" i="1" s="1"/>
  <c r="E57" i="1" a="1"/>
  <c r="E57" i="1" s="1"/>
  <c r="D57" i="1" a="1"/>
  <c r="D57" i="1" s="1"/>
  <c r="C57" i="1" a="1"/>
  <c r="C57" i="1" s="1"/>
  <c r="B57" i="1" a="1"/>
  <c r="B57" i="1" s="1"/>
  <c r="N56" i="1" a="1"/>
  <c r="N56" i="1" s="1"/>
  <c r="M56" i="1" a="1"/>
  <c r="M56" i="1" s="1"/>
  <c r="L56" i="1" a="1"/>
  <c r="L56" i="1" s="1"/>
  <c r="K56" i="1" a="1"/>
  <c r="K56" i="1" s="1"/>
  <c r="F56" i="1" a="1"/>
  <c r="F56" i="1" s="1"/>
  <c r="E56" i="1" a="1"/>
  <c r="E56" i="1" s="1"/>
  <c r="D56" i="1" a="1"/>
  <c r="D56" i="1" s="1"/>
  <c r="C56" i="1" a="1"/>
  <c r="C56" i="1" s="1"/>
  <c r="B56" i="1" a="1"/>
  <c r="B56" i="1" s="1"/>
  <c r="N55" i="1" a="1"/>
  <c r="N55" i="1" s="1"/>
  <c r="M55" i="1" a="1"/>
  <c r="M55" i="1" s="1"/>
  <c r="L55" i="1" a="1"/>
  <c r="L55" i="1" s="1"/>
  <c r="K55" i="1" a="1"/>
  <c r="K55" i="1" s="1"/>
  <c r="F55" i="1" a="1"/>
  <c r="F55" i="1" s="1"/>
  <c r="E55" i="1" a="1"/>
  <c r="E55" i="1" s="1"/>
  <c r="D55" i="1" a="1"/>
  <c r="D55" i="1" s="1"/>
  <c r="C55" i="1" a="1"/>
  <c r="C55" i="1" s="1"/>
  <c r="B55" i="1" a="1"/>
  <c r="B55" i="1" s="1"/>
  <c r="N54" i="1" a="1"/>
  <c r="N54" i="1" s="1"/>
  <c r="M54" i="1" a="1"/>
  <c r="M54" i="1" s="1"/>
  <c r="L54" i="1" a="1"/>
  <c r="L54" i="1" s="1"/>
  <c r="K54" i="1" a="1"/>
  <c r="K54" i="1" s="1"/>
  <c r="F54" i="1" a="1"/>
  <c r="F54" i="1" s="1"/>
  <c r="E54" i="1" a="1"/>
  <c r="E54" i="1" s="1"/>
  <c r="D54" i="1" a="1"/>
  <c r="D54" i="1" s="1"/>
  <c r="C54" i="1" a="1"/>
  <c r="C54" i="1" s="1"/>
  <c r="B54" i="1" a="1"/>
  <c r="B54" i="1" s="1"/>
  <c r="N53" i="1" a="1"/>
  <c r="N53" i="1" s="1"/>
  <c r="M53" i="1" a="1"/>
  <c r="M53" i="1" s="1"/>
  <c r="L53" i="1" a="1"/>
  <c r="L53" i="1" s="1"/>
  <c r="K53" i="1" a="1"/>
  <c r="K53" i="1" s="1"/>
  <c r="F53" i="1" a="1"/>
  <c r="F53" i="1" s="1"/>
  <c r="E53" i="1" a="1"/>
  <c r="E53" i="1" s="1"/>
  <c r="D53" i="1" a="1"/>
  <c r="D53" i="1" s="1"/>
  <c r="C53" i="1" a="1"/>
  <c r="C53" i="1" s="1"/>
  <c r="B53" i="1" a="1"/>
  <c r="B53" i="1" s="1"/>
  <c r="N52" i="1" a="1"/>
  <c r="N52" i="1" s="1"/>
  <c r="M52" i="1" a="1"/>
  <c r="M52" i="1" s="1"/>
  <c r="L52" i="1" a="1"/>
  <c r="L52" i="1" s="1"/>
  <c r="K52" i="1" a="1"/>
  <c r="K52" i="1" s="1"/>
  <c r="F52" i="1" a="1"/>
  <c r="F52" i="1" s="1"/>
  <c r="E52" i="1" a="1"/>
  <c r="E52" i="1" s="1"/>
  <c r="D52" i="1" a="1"/>
  <c r="D52" i="1" s="1"/>
  <c r="C52" i="1" a="1"/>
  <c r="C52" i="1" s="1"/>
  <c r="B52" i="1" a="1"/>
  <c r="B52" i="1" s="1"/>
  <c r="N51" i="1" a="1"/>
  <c r="N51" i="1" s="1"/>
  <c r="M51" i="1" a="1"/>
  <c r="M51" i="1" s="1"/>
  <c r="L51" i="1" a="1"/>
  <c r="L51" i="1" s="1"/>
  <c r="K51" i="1" a="1"/>
  <c r="K51" i="1" s="1"/>
  <c r="F51" i="1" a="1"/>
  <c r="F51" i="1" s="1"/>
  <c r="E51" i="1" a="1"/>
  <c r="E51" i="1" s="1"/>
  <c r="D51" i="1" a="1"/>
  <c r="D51" i="1" s="1"/>
  <c r="C51" i="1" a="1"/>
  <c r="C51" i="1" s="1"/>
  <c r="B51" i="1" a="1"/>
  <c r="B51" i="1" s="1"/>
  <c r="N50" i="1" a="1"/>
  <c r="N50" i="1" s="1"/>
  <c r="M50" i="1" a="1"/>
  <c r="M50" i="1" s="1"/>
  <c r="L50" i="1" a="1"/>
  <c r="L50" i="1" s="1"/>
  <c r="K50" i="1" a="1"/>
  <c r="K50" i="1" s="1"/>
  <c r="F50" i="1" a="1"/>
  <c r="F50" i="1" s="1"/>
  <c r="E50" i="1" a="1"/>
  <c r="E50" i="1" s="1"/>
  <c r="D50" i="1" a="1"/>
  <c r="D50" i="1" s="1"/>
  <c r="C50" i="1" a="1"/>
  <c r="C50" i="1" s="1"/>
  <c r="B50" i="1" a="1"/>
  <c r="B50" i="1" s="1"/>
  <c r="N49" i="1" a="1"/>
  <c r="N49" i="1" s="1"/>
  <c r="M49" i="1" a="1"/>
  <c r="M49" i="1" s="1"/>
  <c r="L49" i="1" a="1"/>
  <c r="L49" i="1" s="1"/>
  <c r="K49" i="1" a="1"/>
  <c r="K49" i="1" s="1"/>
  <c r="F49" i="1" a="1"/>
  <c r="F49" i="1" s="1"/>
  <c r="E49" i="1" a="1"/>
  <c r="E49" i="1" s="1"/>
  <c r="D49" i="1" a="1"/>
  <c r="D49" i="1" s="1"/>
  <c r="C49" i="1" a="1"/>
  <c r="C49" i="1" s="1"/>
  <c r="B49" i="1" a="1"/>
  <c r="B49" i="1" s="1"/>
  <c r="N48" i="1" a="1"/>
  <c r="N48" i="1" s="1"/>
  <c r="M48" i="1" a="1"/>
  <c r="M48" i="1" s="1"/>
  <c r="L48" i="1" a="1"/>
  <c r="L48" i="1" s="1"/>
  <c r="K48" i="1" a="1"/>
  <c r="K48" i="1" s="1"/>
  <c r="F48" i="1" a="1"/>
  <c r="F48" i="1" s="1"/>
  <c r="E48" i="1" a="1"/>
  <c r="E48" i="1" s="1"/>
  <c r="D48" i="1" a="1"/>
  <c r="D48" i="1" s="1"/>
  <c r="C48" i="1" a="1"/>
  <c r="C48" i="1" s="1"/>
  <c r="B48" i="1" a="1"/>
  <c r="B48" i="1" s="1"/>
  <c r="N47" i="1" a="1"/>
  <c r="N47" i="1" s="1"/>
  <c r="M47" i="1" a="1"/>
  <c r="M47" i="1" s="1"/>
  <c r="L47" i="1" a="1"/>
  <c r="L47" i="1" s="1"/>
  <c r="K47" i="1" a="1"/>
  <c r="K47" i="1" s="1"/>
  <c r="F47" i="1" a="1"/>
  <c r="F47" i="1" s="1"/>
  <c r="E47" i="1" a="1"/>
  <c r="E47" i="1" s="1"/>
  <c r="D47" i="1" a="1"/>
  <c r="D47" i="1" s="1"/>
  <c r="C47" i="1" a="1"/>
  <c r="C47" i="1" s="1"/>
  <c r="B47" i="1" a="1"/>
  <c r="B47" i="1" s="1"/>
  <c r="N46" i="1" a="1"/>
  <c r="N46" i="1" s="1"/>
  <c r="M46" i="1" a="1"/>
  <c r="M46" i="1" s="1"/>
  <c r="L46" i="1" a="1"/>
  <c r="L46" i="1" s="1"/>
  <c r="K46" i="1" a="1"/>
  <c r="K46" i="1" s="1"/>
  <c r="F46" i="1" a="1"/>
  <c r="F46" i="1" s="1"/>
  <c r="E46" i="1" a="1"/>
  <c r="E46" i="1" s="1"/>
  <c r="D46" i="1" a="1"/>
  <c r="D46" i="1" s="1"/>
  <c r="C46" i="1" a="1"/>
  <c r="C46" i="1" s="1"/>
  <c r="B46" i="1" a="1"/>
  <c r="B46" i="1" s="1"/>
  <c r="N45" i="1" a="1"/>
  <c r="N45" i="1" s="1"/>
  <c r="M45" i="1" a="1"/>
  <c r="M45" i="1" s="1"/>
  <c r="L45" i="1" a="1"/>
  <c r="L45" i="1" s="1"/>
  <c r="K45" i="1" a="1"/>
  <c r="K45" i="1" s="1"/>
  <c r="F45" i="1" a="1"/>
  <c r="F45" i="1" s="1"/>
  <c r="E45" i="1" a="1"/>
  <c r="E45" i="1" s="1"/>
  <c r="D45" i="1" a="1"/>
  <c r="D45" i="1" s="1"/>
  <c r="C45" i="1" a="1"/>
  <c r="C45" i="1" s="1"/>
  <c r="B45" i="1" a="1"/>
  <c r="B45" i="1" s="1"/>
  <c r="N44" i="1" a="1"/>
  <c r="N44" i="1" s="1"/>
  <c r="M44" i="1" a="1"/>
  <c r="M44" i="1" s="1"/>
  <c r="L44" i="1" a="1"/>
  <c r="L44" i="1" s="1"/>
  <c r="K44" i="1" a="1"/>
  <c r="K44" i="1" s="1"/>
  <c r="F44" i="1" a="1"/>
  <c r="F44" i="1" s="1"/>
  <c r="E44" i="1" a="1"/>
  <c r="E44" i="1" s="1"/>
  <c r="D44" i="1" a="1"/>
  <c r="D44" i="1" s="1"/>
  <c r="C44" i="1" a="1"/>
  <c r="C44" i="1" s="1"/>
  <c r="B44" i="1" a="1"/>
  <c r="B44" i="1" s="1"/>
  <c r="N43" i="1" a="1"/>
  <c r="N43" i="1" s="1"/>
  <c r="M43" i="1" a="1"/>
  <c r="M43" i="1" s="1"/>
  <c r="L43" i="1" a="1"/>
  <c r="L43" i="1" s="1"/>
  <c r="K43" i="1" a="1"/>
  <c r="K43" i="1" s="1"/>
  <c r="F43" i="1" a="1"/>
  <c r="F43" i="1" s="1"/>
  <c r="E43" i="1" a="1"/>
  <c r="E43" i="1" s="1"/>
  <c r="D43" i="1" a="1"/>
  <c r="D43" i="1" s="1"/>
  <c r="C43" i="1" a="1"/>
  <c r="C43" i="1" s="1"/>
  <c r="B43" i="1" a="1"/>
  <c r="B43" i="1" s="1"/>
  <c r="N42" i="1" a="1"/>
  <c r="N42" i="1" s="1"/>
  <c r="M42" i="1" a="1"/>
  <c r="M42" i="1" s="1"/>
  <c r="L42" i="1" a="1"/>
  <c r="L42" i="1" s="1"/>
  <c r="K42" i="1" a="1"/>
  <c r="K42" i="1" s="1"/>
  <c r="F42" i="1" a="1"/>
  <c r="F42" i="1" s="1"/>
  <c r="E42" i="1" a="1"/>
  <c r="E42" i="1" s="1"/>
  <c r="D42" i="1" a="1"/>
  <c r="D42" i="1" s="1"/>
  <c r="C42" i="1" a="1"/>
  <c r="C42" i="1" s="1"/>
  <c r="B42" i="1" a="1"/>
  <c r="B42" i="1" s="1"/>
  <c r="N41" i="1" a="1"/>
  <c r="N41" i="1" s="1"/>
  <c r="M41" i="1" a="1"/>
  <c r="M41" i="1" s="1"/>
  <c r="L41" i="1" a="1"/>
  <c r="L41" i="1" s="1"/>
  <c r="K41" i="1" a="1"/>
  <c r="K41" i="1" s="1"/>
  <c r="F41" i="1" a="1"/>
  <c r="F41" i="1" s="1"/>
  <c r="E41" i="1" a="1"/>
  <c r="E41" i="1" s="1"/>
  <c r="D41" i="1" a="1"/>
  <c r="D41" i="1" s="1"/>
  <c r="C41" i="1" a="1"/>
  <c r="C41" i="1" s="1"/>
  <c r="B41" i="1" a="1"/>
  <c r="B41" i="1" s="1"/>
  <c r="N40" i="1" a="1"/>
  <c r="N40" i="1" s="1"/>
  <c r="M40" i="1" a="1"/>
  <c r="M40" i="1" s="1"/>
  <c r="L40" i="1" a="1"/>
  <c r="L40" i="1" s="1"/>
  <c r="K40" i="1" a="1"/>
  <c r="K40" i="1"/>
  <c r="F40" i="1" a="1"/>
  <c r="F40" i="1" s="1"/>
  <c r="E40" i="1" a="1"/>
  <c r="E40" i="1" s="1"/>
  <c r="D40" i="1" a="1"/>
  <c r="D40" i="1" s="1"/>
  <c r="C40" i="1" a="1"/>
  <c r="C40" i="1" s="1"/>
  <c r="B40" i="1" a="1"/>
  <c r="B40" i="1" s="1"/>
  <c r="N39" i="1" a="1"/>
  <c r="N39" i="1" s="1"/>
  <c r="M39" i="1" a="1"/>
  <c r="M39" i="1" s="1"/>
  <c r="L39" i="1" a="1"/>
  <c r="L39" i="1" s="1"/>
  <c r="K39" i="1" a="1"/>
  <c r="K39" i="1" s="1"/>
  <c r="F39" i="1" a="1"/>
  <c r="F39" i="1" s="1"/>
  <c r="E39" i="1" a="1"/>
  <c r="E39" i="1" s="1"/>
  <c r="D39" i="1" a="1"/>
  <c r="D39" i="1" s="1"/>
  <c r="C39" i="1" a="1"/>
  <c r="C39" i="1" s="1"/>
  <c r="B39" i="1" a="1"/>
  <c r="B39" i="1" s="1"/>
  <c r="N38" i="1" a="1"/>
  <c r="N38" i="1" s="1"/>
  <c r="M38" i="1" a="1"/>
  <c r="M38" i="1" s="1"/>
  <c r="L38" i="1" a="1"/>
  <c r="L38" i="1" s="1"/>
  <c r="K38" i="1" a="1"/>
  <c r="K38" i="1" s="1"/>
  <c r="F38" i="1" a="1"/>
  <c r="F38" i="1" s="1"/>
  <c r="E38" i="1" a="1"/>
  <c r="E38" i="1" s="1"/>
  <c r="D38" i="1" a="1"/>
  <c r="D38" i="1" s="1"/>
  <c r="C38" i="1" a="1"/>
  <c r="C38" i="1" s="1"/>
  <c r="B38" i="1" a="1"/>
  <c r="B38" i="1" s="1"/>
  <c r="N37" i="1" a="1"/>
  <c r="N37" i="1" s="1"/>
  <c r="M37" i="1" a="1"/>
  <c r="M37" i="1" s="1"/>
  <c r="L37" i="1" a="1"/>
  <c r="L37" i="1" s="1"/>
  <c r="K37" i="1" a="1"/>
  <c r="K37" i="1" s="1"/>
  <c r="F37" i="1" a="1"/>
  <c r="F37" i="1" s="1"/>
  <c r="E37" i="1" a="1"/>
  <c r="E37" i="1" s="1"/>
  <c r="D37" i="1" a="1"/>
  <c r="D37" i="1" s="1"/>
  <c r="C37" i="1" a="1"/>
  <c r="C37" i="1" s="1"/>
  <c r="B37" i="1" a="1"/>
  <c r="B37" i="1"/>
  <c r="N36" i="1" a="1"/>
  <c r="N36" i="1" s="1"/>
  <c r="M36" i="1" a="1"/>
  <c r="M36" i="1" s="1"/>
  <c r="L36" i="1" a="1"/>
  <c r="L36" i="1" s="1"/>
  <c r="K36" i="1" a="1"/>
  <c r="K36" i="1" s="1"/>
  <c r="F36" i="1" a="1"/>
  <c r="F36" i="1" s="1"/>
  <c r="E36" i="1" a="1"/>
  <c r="E36" i="1" s="1"/>
  <c r="D36" i="1" a="1"/>
  <c r="D36" i="1" s="1"/>
  <c r="C36" i="1" a="1"/>
  <c r="C36" i="1" s="1"/>
  <c r="B36" i="1" a="1"/>
  <c r="B36" i="1" s="1"/>
  <c r="N35" i="1" a="1"/>
  <c r="N35" i="1" s="1"/>
  <c r="M35" i="1" a="1"/>
  <c r="M35" i="1" s="1"/>
  <c r="L35" i="1" a="1"/>
  <c r="L35" i="1" s="1"/>
  <c r="K35" i="1" a="1"/>
  <c r="K35" i="1" s="1"/>
  <c r="F35" i="1" a="1"/>
  <c r="F35" i="1" s="1"/>
  <c r="E35" i="1" a="1"/>
  <c r="E35" i="1" s="1"/>
  <c r="D35" i="1" a="1"/>
  <c r="D35" i="1" s="1"/>
  <c r="C35" i="1" a="1"/>
  <c r="C35" i="1" s="1"/>
  <c r="B35" i="1" a="1"/>
  <c r="B35" i="1" s="1"/>
  <c r="N34" i="1" a="1"/>
  <c r="N34" i="1" s="1"/>
  <c r="M34" i="1" a="1"/>
  <c r="M34" i="1" s="1"/>
  <c r="L34" i="1" a="1"/>
  <c r="L34" i="1" s="1"/>
  <c r="K34" i="1" a="1"/>
  <c r="K34" i="1" s="1"/>
  <c r="F34" i="1" a="1"/>
  <c r="F34" i="1" s="1"/>
  <c r="E34" i="1" a="1"/>
  <c r="E34" i="1"/>
  <c r="D34" i="1" a="1"/>
  <c r="D34" i="1" s="1"/>
  <c r="C34" i="1" a="1"/>
  <c r="C34" i="1"/>
  <c r="B34" i="1" a="1"/>
  <c r="B34" i="1" s="1"/>
  <c r="N33" i="1" a="1"/>
  <c r="N33" i="1" s="1"/>
  <c r="M33" i="1" a="1"/>
  <c r="M33" i="1" s="1"/>
  <c r="L33" i="1" a="1"/>
  <c r="L33" i="1" s="1"/>
  <c r="K33" i="1" a="1"/>
  <c r="K33" i="1" s="1"/>
  <c r="F33" i="1" a="1"/>
  <c r="F33" i="1" s="1"/>
  <c r="E33" i="1" a="1"/>
  <c r="E33" i="1" s="1"/>
  <c r="D33" i="1" a="1"/>
  <c r="D33" i="1" s="1"/>
  <c r="C33" i="1" a="1"/>
  <c r="C33" i="1" s="1"/>
  <c r="B33" i="1" a="1"/>
  <c r="B33" i="1" s="1"/>
  <c r="N32" i="1" a="1"/>
  <c r="N32" i="1" s="1"/>
  <c r="M32" i="1" a="1"/>
  <c r="M32" i="1"/>
  <c r="L32" i="1" a="1"/>
  <c r="L32" i="1" s="1"/>
  <c r="K32" i="1" a="1"/>
  <c r="K32" i="1" s="1"/>
  <c r="F32" i="1" a="1"/>
  <c r="F32" i="1" s="1"/>
  <c r="E32" i="1" a="1"/>
  <c r="E32" i="1"/>
  <c r="D32" i="1" a="1"/>
  <c r="D32" i="1" s="1"/>
  <c r="C32" i="1" a="1"/>
  <c r="C32" i="1" s="1"/>
  <c r="B32" i="1" a="1"/>
  <c r="B32" i="1" s="1"/>
  <c r="N31" i="1" a="1"/>
  <c r="N31" i="1"/>
  <c r="M31" i="1" a="1"/>
  <c r="M31" i="1" s="1"/>
  <c r="L31" i="1" a="1"/>
  <c r="L31" i="1" s="1"/>
  <c r="K31" i="1" a="1"/>
  <c r="K31" i="1" s="1"/>
  <c r="F31" i="1" a="1"/>
  <c r="F31" i="1"/>
  <c r="E31" i="1" a="1"/>
  <c r="E31" i="1" s="1"/>
  <c r="D31" i="1" a="1"/>
  <c r="D31" i="1" s="1"/>
  <c r="C31" i="1" a="1"/>
  <c r="C31" i="1" s="1"/>
  <c r="B31" i="1" a="1"/>
  <c r="B31" i="1"/>
  <c r="N30" i="1" a="1"/>
  <c r="N30" i="1" s="1"/>
  <c r="M30" i="1" a="1"/>
  <c r="M30" i="1" s="1"/>
  <c r="L30" i="1" a="1"/>
  <c r="L30" i="1" s="1"/>
  <c r="K30" i="1" a="1"/>
  <c r="K30" i="1"/>
  <c r="F30" i="1" a="1"/>
  <c r="F30" i="1" s="1"/>
  <c r="E30" i="1" a="1"/>
  <c r="E30" i="1" s="1"/>
  <c r="D30" i="1" a="1"/>
  <c r="D30" i="1" s="1"/>
  <c r="C30" i="1" a="1"/>
  <c r="C30" i="1"/>
  <c r="B30" i="1" a="1"/>
  <c r="B30" i="1" s="1"/>
  <c r="N29" i="1" a="1"/>
  <c r="N29" i="1" s="1"/>
  <c r="M29" i="1" a="1"/>
  <c r="M29" i="1" s="1"/>
  <c r="L29" i="1" a="1"/>
  <c r="L29" i="1" s="1"/>
  <c r="K29" i="1" a="1"/>
  <c r="K29" i="1" s="1"/>
  <c r="F29" i="1" a="1"/>
  <c r="F29" i="1" s="1"/>
  <c r="E29" i="1" a="1"/>
  <c r="E29" i="1" s="1"/>
  <c r="D29" i="1" a="1"/>
  <c r="D29" i="1"/>
  <c r="C29" i="1" a="1"/>
  <c r="C29" i="1" s="1"/>
  <c r="B29" i="1" a="1"/>
  <c r="B29" i="1" s="1"/>
  <c r="N28" i="1" a="1"/>
  <c r="N28" i="1" s="1"/>
  <c r="M28" i="1" a="1"/>
  <c r="M28" i="1" s="1"/>
  <c r="L28" i="1" a="1"/>
  <c r="L28" i="1" s="1"/>
  <c r="K28" i="1" a="1"/>
  <c r="K28" i="1" s="1"/>
  <c r="F28" i="1" a="1"/>
  <c r="F28" i="1" s="1"/>
  <c r="E28" i="1" a="1"/>
  <c r="E28" i="1" s="1"/>
  <c r="D28" i="1" a="1"/>
  <c r="D28" i="1" s="1"/>
  <c r="C28" i="1" a="1"/>
  <c r="C28" i="1" s="1"/>
  <c r="B28" i="1" a="1"/>
  <c r="B28" i="1" s="1"/>
  <c r="N27" i="1" a="1"/>
  <c r="N27" i="1" s="1"/>
  <c r="M27" i="1" a="1"/>
  <c r="M27" i="1" s="1"/>
  <c r="L27" i="1" a="1"/>
  <c r="L27" i="1" s="1"/>
  <c r="K27" i="1" a="1"/>
  <c r="K27" i="1" s="1"/>
  <c r="F27" i="1" a="1"/>
  <c r="F27" i="1"/>
  <c r="E27" i="1" a="1"/>
  <c r="E27" i="1" s="1"/>
  <c r="D27" i="1" a="1"/>
  <c r="D27" i="1" s="1"/>
  <c r="C27" i="1" a="1"/>
  <c r="C27" i="1" s="1"/>
  <c r="B27" i="1" a="1"/>
  <c r="B27" i="1"/>
  <c r="N26" i="1" a="1"/>
  <c r="N26" i="1" s="1"/>
  <c r="M26" i="1" a="1"/>
  <c r="M26" i="1" s="1"/>
  <c r="L26" i="1" a="1"/>
  <c r="L26" i="1" s="1"/>
  <c r="K26" i="1" a="1"/>
  <c r="K26" i="1"/>
  <c r="F26" i="1" a="1"/>
  <c r="F26" i="1" s="1"/>
  <c r="E26" i="1" a="1"/>
  <c r="E26" i="1" s="1"/>
  <c r="D26" i="1" a="1"/>
  <c r="D26" i="1" s="1"/>
  <c r="C26" i="1" a="1"/>
  <c r="C26" i="1"/>
  <c r="B26" i="1" a="1"/>
  <c r="B26" i="1" s="1"/>
  <c r="N25" i="1" a="1"/>
  <c r="N25" i="1" s="1"/>
  <c r="M25" i="1" a="1"/>
  <c r="M25" i="1" s="1"/>
  <c r="L25" i="1" a="1"/>
  <c r="L25" i="1"/>
  <c r="K25" i="1" a="1"/>
  <c r="K25" i="1" s="1"/>
  <c r="F25" i="1" a="1"/>
  <c r="F25" i="1" s="1"/>
  <c r="E25" i="1" a="1"/>
  <c r="E25" i="1" s="1"/>
  <c r="D25" i="1" a="1"/>
  <c r="D25" i="1"/>
  <c r="C25" i="1" a="1"/>
  <c r="C25" i="1" s="1"/>
  <c r="B25" i="1" a="1"/>
  <c r="B25" i="1" s="1"/>
  <c r="N24" i="1" a="1"/>
  <c r="N24" i="1" s="1"/>
  <c r="M24" i="1" a="1"/>
  <c r="M24" i="1"/>
  <c r="L24" i="1" a="1"/>
  <c r="L24" i="1" s="1"/>
  <c r="K24" i="1" a="1"/>
  <c r="K24" i="1" s="1"/>
  <c r="F24" i="1" a="1"/>
  <c r="F24" i="1" s="1"/>
  <c r="E24" i="1" a="1"/>
  <c r="E24" i="1" s="1"/>
  <c r="D24" i="1" a="1"/>
  <c r="D24" i="1" s="1"/>
  <c r="C24" i="1" a="1"/>
  <c r="C24" i="1" s="1"/>
  <c r="B24" i="1" a="1"/>
  <c r="B24" i="1" s="1"/>
  <c r="N23" i="1" a="1"/>
  <c r="N23" i="1"/>
  <c r="M23" i="1" a="1"/>
  <c r="M23" i="1" s="1"/>
  <c r="L23" i="1" a="1"/>
  <c r="L23" i="1" s="1"/>
  <c r="K23" i="1" a="1"/>
  <c r="K23" i="1" s="1"/>
  <c r="F23" i="1" a="1"/>
  <c r="F23" i="1" s="1"/>
  <c r="E23" i="1" a="1"/>
  <c r="E23" i="1" s="1"/>
  <c r="D23" i="1" a="1"/>
  <c r="D23" i="1" s="1"/>
  <c r="C23" i="1" a="1"/>
  <c r="C23" i="1" s="1"/>
  <c r="B23" i="1" a="1"/>
  <c r="B23" i="1" s="1"/>
  <c r="N22" i="1" a="1"/>
  <c r="N22" i="1" s="1"/>
  <c r="M22" i="1" a="1"/>
  <c r="M22" i="1" s="1"/>
  <c r="L22" i="1" a="1"/>
  <c r="L22" i="1" s="1"/>
  <c r="K22" i="1" a="1"/>
  <c r="K22" i="1" s="1"/>
  <c r="F22" i="1" a="1"/>
  <c r="F22" i="1" s="1"/>
  <c r="E22" i="1" a="1"/>
  <c r="E22" i="1" s="1"/>
  <c r="D22" i="1" a="1"/>
  <c r="D22" i="1" s="1"/>
  <c r="C22" i="1" a="1"/>
  <c r="C22" i="1"/>
  <c r="B22" i="1" a="1"/>
  <c r="B22" i="1" s="1"/>
  <c r="N21" i="1" a="1"/>
  <c r="N21" i="1" s="1"/>
  <c r="M21" i="1" a="1"/>
  <c r="M21" i="1" s="1"/>
  <c r="L21" i="1" a="1"/>
  <c r="L21" i="1"/>
  <c r="K21" i="1" a="1"/>
  <c r="K21" i="1" s="1"/>
  <c r="F21" i="1" a="1"/>
  <c r="F21" i="1" s="1"/>
  <c r="E21" i="1" a="1"/>
  <c r="E21" i="1" s="1"/>
  <c r="D21" i="1" a="1"/>
  <c r="D21" i="1"/>
  <c r="C21" i="1" a="1"/>
  <c r="C21" i="1" s="1"/>
  <c r="B21" i="1" a="1"/>
  <c r="B21" i="1" s="1"/>
  <c r="N20" i="1" a="1"/>
  <c r="N20" i="1" s="1"/>
  <c r="M20" i="1" a="1"/>
  <c r="M20" i="1"/>
  <c r="L20" i="1" a="1"/>
  <c r="L20" i="1" s="1"/>
  <c r="K20" i="1" a="1"/>
  <c r="K20" i="1" s="1"/>
  <c r="F20" i="1" a="1"/>
  <c r="F20" i="1" s="1"/>
  <c r="E20" i="1" a="1"/>
  <c r="E20" i="1"/>
  <c r="D20" i="1" a="1"/>
  <c r="D20" i="1" s="1"/>
  <c r="C20" i="1" a="1"/>
  <c r="C20" i="1" s="1"/>
  <c r="B20" i="1" a="1"/>
  <c r="B20" i="1" s="1"/>
  <c r="N19" i="1" a="1"/>
  <c r="N19" i="1"/>
  <c r="M19" i="1" a="1"/>
  <c r="M19" i="1" s="1"/>
  <c r="L19" i="1" a="1"/>
  <c r="L19" i="1" s="1"/>
  <c r="K19" i="1" a="1"/>
  <c r="K19" i="1" s="1"/>
  <c r="F19" i="1" a="1"/>
  <c r="F19" i="1"/>
  <c r="E19" i="1" a="1"/>
  <c r="E19" i="1" s="1"/>
  <c r="D19" i="1" a="1"/>
  <c r="D19" i="1" s="1"/>
  <c r="C19" i="1" a="1"/>
  <c r="C19" i="1" s="1"/>
  <c r="B19" i="1" a="1"/>
  <c r="B19" i="1" s="1"/>
  <c r="N18" i="1" a="1"/>
  <c r="N18" i="1" s="1"/>
  <c r="M18" i="1" a="1"/>
  <c r="M18" i="1" s="1"/>
  <c r="L18" i="1" a="1"/>
  <c r="L18" i="1" s="1"/>
  <c r="K18" i="1" a="1"/>
  <c r="K18" i="1"/>
  <c r="F18" i="1" a="1"/>
  <c r="F18" i="1" s="1"/>
  <c r="E18" i="1" a="1"/>
  <c r="E18" i="1" s="1"/>
  <c r="D18" i="1" a="1"/>
  <c r="D18" i="1" s="1"/>
  <c r="C18" i="1" a="1"/>
  <c r="C18" i="1" s="1"/>
  <c r="B18" i="1" a="1"/>
  <c r="B18" i="1" s="1"/>
  <c r="N17" i="1" a="1"/>
  <c r="N17" i="1" s="1"/>
  <c r="M17" i="1" a="1"/>
  <c r="M17" i="1" s="1"/>
  <c r="L17" i="1" a="1"/>
  <c r="L17" i="1" s="1"/>
  <c r="K17" i="1" a="1"/>
  <c r="K17" i="1" s="1"/>
  <c r="F17" i="1" a="1"/>
  <c r="F17" i="1" s="1"/>
  <c r="E17" i="1" a="1"/>
  <c r="E17" i="1" s="1"/>
  <c r="D17" i="1" a="1"/>
  <c r="D17" i="1" s="1"/>
  <c r="C17" i="1" a="1"/>
  <c r="C17" i="1" s="1"/>
  <c r="B17" i="1" a="1"/>
  <c r="B17" i="1" s="1"/>
  <c r="N16" i="1" a="1"/>
  <c r="N16" i="1" s="1"/>
  <c r="M16" i="1" a="1"/>
  <c r="M16" i="1"/>
  <c r="L16" i="1" a="1"/>
  <c r="L16" i="1" s="1"/>
  <c r="K16" i="1" a="1"/>
  <c r="K16" i="1" s="1"/>
  <c r="F16" i="1" a="1"/>
  <c r="F16" i="1" s="1"/>
  <c r="E16" i="1" a="1"/>
  <c r="E16" i="1"/>
  <c r="D16" i="1" a="1"/>
  <c r="D16" i="1" s="1"/>
  <c r="C16" i="1" a="1"/>
  <c r="C16" i="1" s="1"/>
  <c r="B16" i="1" a="1"/>
  <c r="B16" i="1" s="1"/>
  <c r="N15" i="1" a="1"/>
  <c r="N15" i="1"/>
  <c r="M15" i="1" a="1"/>
  <c r="M15" i="1" s="1"/>
  <c r="L15" i="1" a="1"/>
  <c r="L15" i="1" s="1"/>
  <c r="K15" i="1" a="1"/>
  <c r="K15" i="1" s="1"/>
  <c r="F15" i="1" a="1"/>
  <c r="F15" i="1"/>
  <c r="E15" i="1" a="1"/>
  <c r="E15" i="1" s="1"/>
  <c r="D15" i="1" a="1"/>
  <c r="D15" i="1" s="1"/>
  <c r="C15" i="1" a="1"/>
  <c r="C15" i="1" s="1"/>
  <c r="B15" i="1" a="1"/>
  <c r="B15" i="1"/>
  <c r="N14" i="1" a="1"/>
  <c r="N14" i="1" s="1"/>
  <c r="M14" i="1" a="1"/>
  <c r="M14" i="1" s="1"/>
  <c r="L14" i="1" a="1"/>
  <c r="L14" i="1" s="1"/>
  <c r="K14" i="1" a="1"/>
  <c r="K14" i="1"/>
  <c r="F14" i="1" a="1"/>
  <c r="F14" i="1" s="1"/>
  <c r="E14" i="1" a="1"/>
  <c r="E14" i="1" s="1"/>
  <c r="D14" i="1" a="1"/>
  <c r="D14" i="1" s="1"/>
  <c r="C14" i="1" a="1"/>
  <c r="C14" i="1"/>
  <c r="B14" i="1" a="1"/>
  <c r="B14" i="1" s="1"/>
  <c r="N13" i="1" a="1"/>
  <c r="N13" i="1" s="1"/>
  <c r="M13" i="1" a="1"/>
  <c r="M13" i="1" s="1"/>
  <c r="L13" i="1" a="1"/>
  <c r="L13" i="1" s="1"/>
  <c r="K13" i="1" a="1"/>
  <c r="K13" i="1" s="1"/>
  <c r="F13" i="1" a="1"/>
  <c r="F13" i="1" s="1"/>
  <c r="E13" i="1" a="1"/>
  <c r="E13" i="1" s="1"/>
  <c r="D13" i="1" a="1"/>
  <c r="D13" i="1"/>
  <c r="C13" i="1" a="1"/>
  <c r="C13" i="1" s="1"/>
  <c r="B13" i="1" a="1"/>
  <c r="B13" i="1" s="1"/>
  <c r="N12" i="1" a="1"/>
  <c r="N12" i="1" s="1"/>
  <c r="M12" i="1" a="1"/>
  <c r="M12" i="1" s="1"/>
  <c r="L12" i="1" a="1"/>
  <c r="L12" i="1" s="1"/>
  <c r="K12" i="1" a="1"/>
  <c r="K12" i="1" s="1"/>
  <c r="F12" i="1" a="1"/>
  <c r="F12" i="1" s="1"/>
  <c r="E12" i="1" a="1"/>
  <c r="E12" i="1" s="1"/>
  <c r="D12" i="1" a="1"/>
  <c r="D12" i="1" s="1"/>
  <c r="C12" i="1" a="1"/>
  <c r="C12" i="1" s="1"/>
  <c r="B12" i="1" a="1"/>
  <c r="B12" i="1" s="1"/>
  <c r="N11" i="1" a="1"/>
  <c r="N11" i="1" s="1"/>
  <c r="M11" i="1" a="1"/>
  <c r="M11" i="1" s="1"/>
  <c r="L11" i="1" a="1"/>
  <c r="L11" i="1" s="1"/>
  <c r="K11" i="1" a="1"/>
  <c r="K11" i="1" s="1"/>
  <c r="F11" i="1" a="1"/>
  <c r="F11" i="1"/>
  <c r="E11" i="1" a="1"/>
  <c r="E11" i="1" s="1"/>
  <c r="D11" i="1" a="1"/>
  <c r="D11" i="1" s="1"/>
  <c r="C11" i="1" a="1"/>
  <c r="C11" i="1" s="1"/>
  <c r="B11" i="1" a="1"/>
  <c r="B11" i="1"/>
  <c r="N10" i="1" a="1"/>
  <c r="N10" i="1" s="1"/>
  <c r="M10" i="1" a="1"/>
  <c r="M10" i="1" s="1"/>
  <c r="L10" i="1" a="1"/>
  <c r="L10" i="1" s="1"/>
  <c r="K10" i="1" a="1"/>
  <c r="K10" i="1"/>
  <c r="F10" i="1" a="1"/>
  <c r="F10" i="1" s="1"/>
  <c r="E10" i="1" a="1"/>
  <c r="E10" i="1" s="1"/>
  <c r="D10" i="1" a="1"/>
  <c r="D10" i="1" s="1"/>
  <c r="C10" i="1" a="1"/>
  <c r="C10" i="1"/>
  <c r="B10" i="1" a="1"/>
  <c r="B10" i="1" s="1"/>
  <c r="N9" i="1" a="1"/>
  <c r="N9" i="1" s="1"/>
  <c r="M9" i="1" a="1"/>
  <c r="M9" i="1" s="1"/>
  <c r="L9" i="1" a="1"/>
  <c r="L9" i="1"/>
  <c r="K9" i="1" a="1"/>
  <c r="K9" i="1" s="1"/>
  <c r="F9" i="1" a="1"/>
  <c r="F9" i="1" s="1"/>
  <c r="E9" i="1" a="1"/>
  <c r="E9" i="1" s="1"/>
  <c r="D9" i="1" a="1"/>
  <c r="D9" i="1"/>
  <c r="C9" i="1" a="1"/>
  <c r="C9" i="1" s="1"/>
  <c r="B9" i="1" a="1"/>
  <c r="B9" i="1" s="1"/>
  <c r="J6" i="1" a="1"/>
  <c r="J6" i="1" s="1"/>
  <c r="H6" i="1" a="1"/>
  <c r="H6" i="1" s="1"/>
  <c r="W6" i="3" l="1" a="1"/>
  <c r="W6" i="3" s="1"/>
  <c r="Q7" i="4" a="1"/>
  <c r="Q7" i="4" s="1"/>
  <c r="AA6" i="3" a="1"/>
  <c r="AA6" i="3" s="1"/>
  <c r="AA7" i="4" a="1"/>
  <c r="AA7" i="4" s="1"/>
  <c r="AF6" i="3" a="1"/>
  <c r="AF6" i="3" s="1"/>
  <c r="AG7" i="4" a="1"/>
  <c r="AG7" i="4" s="1"/>
  <c r="C7" i="3" a="1"/>
  <c r="C7" i="3" s="1"/>
  <c r="F8" i="4" a="1"/>
  <c r="F8" i="4" s="1"/>
  <c r="H7" i="3" a="1"/>
  <c r="H7" i="3" s="1"/>
  <c r="K8" i="4" a="1"/>
  <c r="K8" i="4" s="1"/>
  <c r="P7" i="3" a="1"/>
  <c r="P7" i="3" s="1"/>
  <c r="Q8" i="4" a="1"/>
  <c r="Q8" i="4" s="1"/>
  <c r="C6" i="3" a="1"/>
  <c r="C6" i="3" s="1"/>
  <c r="T7" i="3" a="1"/>
  <c r="T7" i="3" s="1"/>
  <c r="F6" i="4" a="1"/>
  <c r="F6" i="4" s="1"/>
  <c r="AA8" i="4" a="1"/>
  <c r="AA8" i="4" s="1"/>
  <c r="F6" i="3" a="1"/>
  <c r="F6" i="3" s="1"/>
  <c r="AB7" i="3" a="1"/>
  <c r="AB7" i="3" s="1"/>
  <c r="Q6" i="4" a="1"/>
  <c r="Q6" i="4" s="1"/>
  <c r="G6" i="3" a="1"/>
  <c r="G6" i="3" s="1"/>
  <c r="E8" i="3" a="1"/>
  <c r="E8" i="3" s="1"/>
  <c r="V6" i="4" a="1"/>
  <c r="V6" i="4" s="1"/>
  <c r="I6" i="3" a="1"/>
  <c r="I6" i="3" s="1"/>
  <c r="N8" i="3" a="1"/>
  <c r="N8" i="3" s="1"/>
  <c r="AA6" i="4" a="1"/>
  <c r="AA6" i="4" s="1"/>
  <c r="O6" i="3" a="1"/>
  <c r="O6" i="3" s="1"/>
  <c r="V8" i="3" a="1"/>
  <c r="V8" i="3" s="1"/>
  <c r="H6" i="3" a="1"/>
  <c r="H6" i="3" s="1"/>
  <c r="P6" i="3" a="1"/>
  <c r="P6" i="3" s="1"/>
  <c r="Z6" i="3" a="1"/>
  <c r="Z6" i="3" s="1"/>
  <c r="AH6" i="3" a="1"/>
  <c r="AH6" i="3" s="1"/>
  <c r="J7" i="3" a="1"/>
  <c r="J7" i="3" s="1"/>
  <c r="M8" i="3" a="1"/>
  <c r="M8" i="3" s="1"/>
  <c r="U8" i="3" a="1"/>
  <c r="U8" i="3" s="1"/>
  <c r="AC8" i="3" a="1"/>
  <c r="AC8" i="3" s="1"/>
  <c r="D6" i="3" a="1"/>
  <c r="D6" i="3" s="1"/>
  <c r="J6" i="3" a="1"/>
  <c r="J6" i="3" s="1"/>
  <c r="M7" i="3" a="1"/>
  <c r="M7" i="3" s="1"/>
  <c r="U7" i="3" a="1"/>
  <c r="U7" i="3" s="1"/>
  <c r="AC7" i="3" a="1"/>
  <c r="AC7" i="3" s="1"/>
  <c r="G8" i="3" a="1"/>
  <c r="G8" i="3" s="1"/>
  <c r="O8" i="3" a="1"/>
  <c r="O8" i="3" s="1"/>
  <c r="W8" i="3" a="1"/>
  <c r="W8" i="3" s="1"/>
  <c r="AF8" i="3" a="1"/>
  <c r="AF8" i="3" s="1"/>
  <c r="T6" i="3" a="1"/>
  <c r="T6" i="3" s="1"/>
  <c r="AB6" i="3" a="1"/>
  <c r="AB6" i="3" s="1"/>
  <c r="E7" i="3" a="1"/>
  <c r="E7" i="3" s="1"/>
  <c r="N7" i="3" a="1"/>
  <c r="N7" i="3" s="1"/>
  <c r="V7" i="3" a="1"/>
  <c r="V7" i="3" s="1"/>
  <c r="AE7" i="3" a="1"/>
  <c r="AE7" i="3" s="1"/>
  <c r="X8" i="3" a="1"/>
  <c r="X8" i="3" s="1"/>
  <c r="AG8" i="3" a="1"/>
  <c r="AG8" i="3" s="1"/>
  <c r="E6" i="3" a="1"/>
  <c r="E6" i="3" s="1"/>
  <c r="M6" i="3" a="1"/>
  <c r="M6" i="3" s="1"/>
  <c r="U6" i="3" a="1"/>
  <c r="U6" i="3" s="1"/>
  <c r="AC6" i="3" a="1"/>
  <c r="AC6" i="3" s="1"/>
  <c r="G7" i="3" a="1"/>
  <c r="G7" i="3" s="1"/>
  <c r="O7" i="3" a="1"/>
  <c r="O7" i="3" s="1"/>
  <c r="W7" i="3" a="1"/>
  <c r="W7" i="3" s="1"/>
  <c r="AF7" i="3" a="1"/>
  <c r="AF7" i="3" s="1"/>
  <c r="H8" i="3" a="1"/>
  <c r="H8" i="3" s="1"/>
  <c r="P8" i="3" a="1"/>
  <c r="P8" i="3" s="1"/>
  <c r="Z8" i="3" a="1"/>
  <c r="Z8" i="3" s="1"/>
  <c r="AH8" i="3" a="1"/>
  <c r="AH8" i="3" s="1"/>
  <c r="N6" i="3" a="1"/>
  <c r="N6" i="3" s="1"/>
  <c r="V6" i="3" a="1"/>
  <c r="V6" i="3" s="1"/>
  <c r="AE6" i="3" a="1"/>
  <c r="AE6" i="3" s="1"/>
  <c r="X7" i="3" a="1"/>
  <c r="X7" i="3" s="1"/>
  <c r="AG7" i="3" a="1"/>
  <c r="AG7" i="3" s="1"/>
  <c r="I8" i="3" a="1"/>
  <c r="I8" i="3" s="1"/>
  <c r="R8" i="3" a="1"/>
  <c r="R8" i="3" s="1"/>
  <c r="AA8" i="3" a="1"/>
  <c r="AA8" i="3" s="1"/>
  <c r="Z7" i="3" a="1"/>
  <c r="Z7" i="3" s="1"/>
  <c r="AH7" i="3" a="1"/>
  <c r="AH7" i="3" s="1"/>
  <c r="Y8" i="3" a="1"/>
  <c r="Y8" i="3" s="1"/>
  <c r="S8" i="3" a="1"/>
  <c r="S8" i="3" s="1"/>
  <c r="L8" i="3" a="1"/>
  <c r="L8" i="3" s="1"/>
  <c r="F8" i="3" a="1"/>
  <c r="F8" i="3" s="1"/>
  <c r="Y7" i="3" a="1"/>
  <c r="Y7" i="3" s="1"/>
  <c r="S7" i="3" a="1"/>
  <c r="S7" i="3" s="1"/>
  <c r="L7" i="3" a="1"/>
  <c r="L7" i="3" s="1"/>
  <c r="F7" i="3" a="1"/>
  <c r="F7" i="3" s="1"/>
  <c r="Y6" i="3" a="1"/>
  <c r="Y6" i="3" s="1"/>
  <c r="S6" i="3" a="1"/>
  <c r="S6" i="3" s="1"/>
  <c r="L6" i="3" a="1"/>
  <c r="L6" i="3" s="1"/>
  <c r="AD8" i="3" a="1"/>
  <c r="AD8" i="3" s="1"/>
  <c r="Q8" i="3" a="1"/>
  <c r="Q8" i="3" s="1"/>
  <c r="K8" i="3" a="1"/>
  <c r="K8" i="3" s="1"/>
  <c r="D8" i="3" a="1"/>
  <c r="D8" i="3" s="1"/>
  <c r="AD7" i="3" a="1"/>
  <c r="AD7" i="3" s="1"/>
  <c r="Q7" i="3" a="1"/>
  <c r="Q7" i="3" s="1"/>
  <c r="K7" i="3" a="1"/>
  <c r="K7" i="3" s="1"/>
  <c r="D7" i="3" a="1"/>
  <c r="D7" i="3" s="1"/>
  <c r="AD6" i="3" a="1"/>
  <c r="AD6" i="3" s="1"/>
  <c r="Q6" i="3" a="1"/>
  <c r="Q6" i="3" s="1"/>
  <c r="K6" i="3" a="1"/>
  <c r="K6" i="3" s="1"/>
  <c r="X6" i="3" a="1"/>
  <c r="X6" i="3" s="1"/>
  <c r="AG6" i="3" a="1"/>
  <c r="AG6" i="3" s="1"/>
  <c r="I7" i="3" a="1"/>
  <c r="I7" i="3" s="1"/>
  <c r="R7" i="3" a="1"/>
  <c r="R7" i="3" s="1"/>
  <c r="AA7" i="3" a="1"/>
  <c r="AA7" i="3" s="1"/>
  <c r="C8" i="3" a="1"/>
  <c r="C8" i="3" s="1"/>
  <c r="T8" i="3" a="1"/>
  <c r="T8" i="3" s="1"/>
  <c r="AB8" i="3" a="1"/>
  <c r="AB8" i="3" s="1"/>
  <c r="AE8" i="4" a="1"/>
  <c r="AE8" i="4" s="1"/>
  <c r="Z8" i="4" a="1"/>
  <c r="Z8" i="4" s="1"/>
  <c r="U8" i="4" a="1"/>
  <c r="U8" i="4" s="1"/>
  <c r="O8" i="4" a="1"/>
  <c r="O8" i="4" s="1"/>
  <c r="J8" i="4" a="1"/>
  <c r="J8" i="4" s="1"/>
  <c r="E8" i="4" a="1"/>
  <c r="E8" i="4" s="1"/>
  <c r="AE7" i="4" a="1"/>
  <c r="AE7" i="4" s="1"/>
  <c r="Z7" i="4" a="1"/>
  <c r="Z7" i="4" s="1"/>
  <c r="U7" i="4" a="1"/>
  <c r="U7" i="4" s="1"/>
  <c r="O7" i="4" a="1"/>
  <c r="O7" i="4" s="1"/>
  <c r="J7" i="4" a="1"/>
  <c r="J7" i="4" s="1"/>
  <c r="E7" i="4" a="1"/>
  <c r="E7" i="4" s="1"/>
  <c r="AE6" i="4" a="1"/>
  <c r="AE6" i="4" s="1"/>
  <c r="Z6" i="4" a="1"/>
  <c r="Z6" i="4" s="1"/>
  <c r="U6" i="4" a="1"/>
  <c r="U6" i="4" s="1"/>
  <c r="O6" i="4" a="1"/>
  <c r="O6" i="4" s="1"/>
  <c r="D6" i="1" s="1" a="1"/>
  <c r="D6" i="1" s="1"/>
  <c r="J6" i="4" a="1"/>
  <c r="J6" i="4" s="1"/>
  <c r="E6" i="4" a="1"/>
  <c r="E6" i="4" s="1"/>
  <c r="T8" i="4" a="1"/>
  <c r="T8" i="4" s="1"/>
  <c r="D8" i="4" a="1"/>
  <c r="D8" i="4" s="1"/>
  <c r="T7" i="4" a="1"/>
  <c r="T7" i="4" s="1"/>
  <c r="D7" i="4" a="1"/>
  <c r="D7" i="4" s="1"/>
  <c r="T6" i="4" a="1"/>
  <c r="T6" i="4" s="1"/>
  <c r="D6" i="4" a="1"/>
  <c r="D6" i="4" s="1"/>
  <c r="AD8" i="4" a="1"/>
  <c r="AD8" i="4" s="1"/>
  <c r="Y8" i="4" a="1"/>
  <c r="Y8" i="4" s="1"/>
  <c r="S8" i="4" a="1"/>
  <c r="S8" i="4" s="1"/>
  <c r="N8" i="4" a="1"/>
  <c r="N8" i="4" s="1"/>
  <c r="I8" i="4" a="1"/>
  <c r="I8" i="4" s="1"/>
  <c r="C8" i="4" a="1"/>
  <c r="C8" i="4" s="1"/>
  <c r="AD7" i="4" a="1"/>
  <c r="AD7" i="4" s="1"/>
  <c r="Y7" i="4" a="1"/>
  <c r="Y7" i="4" s="1"/>
  <c r="S7" i="4" a="1"/>
  <c r="S7" i="4" s="1"/>
  <c r="N7" i="4" a="1"/>
  <c r="N7" i="4" s="1"/>
  <c r="I7" i="4" a="1"/>
  <c r="I7" i="4" s="1"/>
  <c r="C7" i="4" a="1"/>
  <c r="C7" i="4" s="1"/>
  <c r="AD6" i="4" a="1"/>
  <c r="AD6" i="4" s="1"/>
  <c r="Y6" i="4" a="1"/>
  <c r="Y6" i="4" s="1"/>
  <c r="S6" i="4" a="1"/>
  <c r="S6" i="4" s="1"/>
  <c r="N6" i="4" a="1"/>
  <c r="N6" i="4" s="1"/>
  <c r="I6" i="4" a="1"/>
  <c r="I6" i="4" s="1"/>
  <c r="C6" i="4" a="1"/>
  <c r="C6" i="4" s="1"/>
  <c r="F6" i="1" s="1" a="1"/>
  <c r="F6" i="1" s="1"/>
  <c r="X8" i="4" a="1"/>
  <c r="X8" i="4" s="1"/>
  <c r="H8" i="4" a="1"/>
  <c r="H8" i="4" s="1"/>
  <c r="X7" i="4" a="1"/>
  <c r="X7" i="4" s="1"/>
  <c r="H7" i="4" a="1"/>
  <c r="H7" i="4" s="1"/>
  <c r="X6" i="4" a="1"/>
  <c r="X6" i="4" s="1"/>
  <c r="H6" i="4" a="1"/>
  <c r="H6" i="4" s="1"/>
  <c r="AH8" i="4" a="1"/>
  <c r="AH8" i="4" s="1"/>
  <c r="AC8" i="4" a="1"/>
  <c r="AC8" i="4" s="1"/>
  <c r="W8" i="4" a="1"/>
  <c r="W8" i="4" s="1"/>
  <c r="R8" i="4" a="1"/>
  <c r="R8" i="4" s="1"/>
  <c r="M8" i="4" a="1"/>
  <c r="M8" i="4" s="1"/>
  <c r="G8" i="4" a="1"/>
  <c r="G8" i="4" s="1"/>
  <c r="AH7" i="4" a="1"/>
  <c r="AH7" i="4" s="1"/>
  <c r="AC7" i="4" a="1"/>
  <c r="AC7" i="4" s="1"/>
  <c r="W7" i="4" a="1"/>
  <c r="W7" i="4" s="1"/>
  <c r="R7" i="4" a="1"/>
  <c r="R7" i="4" s="1"/>
  <c r="M7" i="4" a="1"/>
  <c r="M7" i="4" s="1"/>
  <c r="G7" i="4" a="1"/>
  <c r="G7" i="4" s="1"/>
  <c r="AH6" i="4" a="1"/>
  <c r="AH6" i="4" s="1"/>
  <c r="AC6" i="4" a="1"/>
  <c r="AC6" i="4" s="1"/>
  <c r="W6" i="4" a="1"/>
  <c r="W6" i="4" s="1"/>
  <c r="R6" i="4" a="1"/>
  <c r="R6" i="4" s="1"/>
  <c r="M6" i="4" a="1"/>
  <c r="M6" i="4" s="1"/>
  <c r="G6" i="4" a="1"/>
  <c r="G6" i="4" s="1"/>
  <c r="AB8" i="4" a="1"/>
  <c r="AB8" i="4" s="1"/>
  <c r="L8" i="4" a="1"/>
  <c r="L8" i="4" s="1"/>
  <c r="AB7" i="4" a="1"/>
  <c r="AB7" i="4" s="1"/>
  <c r="L7" i="4" a="1"/>
  <c r="L7" i="4" s="1"/>
  <c r="AB6" i="4" a="1"/>
  <c r="AB6" i="4" s="1"/>
  <c r="L6" i="4" a="1"/>
  <c r="L6" i="4" s="1"/>
  <c r="AF8" i="4" a="1"/>
  <c r="AF8" i="4" s="1"/>
  <c r="P8" i="4" a="1"/>
  <c r="P8" i="4" s="1"/>
  <c r="AF7" i="4" a="1"/>
  <c r="AF7" i="4" s="1"/>
  <c r="P7" i="4" a="1"/>
  <c r="P7" i="4" s="1"/>
  <c r="AF6" i="4" a="1"/>
  <c r="AF6" i="4" s="1"/>
  <c r="P6" i="4" a="1"/>
  <c r="P6" i="4" s="1"/>
  <c r="K7" i="4" a="1"/>
  <c r="K7" i="4" s="1"/>
  <c r="V8" i="4" a="1"/>
  <c r="V8" i="4" s="1"/>
  <c r="K6" i="4" a="1"/>
  <c r="K6" i="4" s="1"/>
  <c r="V7" i="4" a="1"/>
  <c r="V7" i="4" s="1"/>
  <c r="AG8" i="4" a="1"/>
  <c r="AG8" i="4" s="1"/>
  <c r="G534" i="1" l="1" a="1"/>
  <c r="G534" i="1" s="1"/>
  <c r="H537" i="1" a="1"/>
  <c r="H537" i="1" s="1"/>
  <c r="I53" i="1" a="1"/>
  <c r="I53" i="1" s="1"/>
  <c r="L6" i="1" a="1"/>
  <c r="L6" i="1" s="1"/>
  <c r="I16" i="1" a="1"/>
  <c r="I16" i="1" s="1"/>
  <c r="I66" i="1" a="1"/>
  <c r="I66" i="1" s="1"/>
  <c r="I25" i="1" a="1"/>
  <c r="I25" i="1" s="1"/>
  <c r="J58" i="1" a="1"/>
  <c r="J58" i="1" s="1"/>
  <c r="J55" i="1" a="1"/>
  <c r="J55" i="1" s="1"/>
  <c r="I14" i="1" a="1"/>
  <c r="I14" i="1" s="1"/>
  <c r="I37" i="1" a="1"/>
  <c r="I37" i="1" s="1"/>
  <c r="J18" i="1" a="1"/>
  <c r="J18" i="1" s="1"/>
  <c r="J35" i="1" a="1"/>
  <c r="J35" i="1" s="1"/>
  <c r="I54" i="1" a="1"/>
  <c r="I54" i="1" s="1"/>
  <c r="J39" i="1" a="1"/>
  <c r="J39" i="1" s="1"/>
  <c r="J62" i="1" a="1"/>
  <c r="J62" i="1" s="1"/>
  <c r="I56" i="1" a="1"/>
  <c r="I56" i="1" s="1"/>
  <c r="I28" i="1" a="1"/>
  <c r="I28" i="1" s="1"/>
  <c r="J64" i="1" a="1"/>
  <c r="J64" i="1" s="1"/>
  <c r="I87" i="1" a="1"/>
  <c r="I87" i="1" s="1"/>
  <c r="I78" i="1" a="1"/>
  <c r="I78" i="1" s="1"/>
  <c r="J72" i="1" a="1"/>
  <c r="J72" i="1" s="1"/>
  <c r="I74" i="1" a="1"/>
  <c r="I74" i="1" s="1"/>
  <c r="J69" i="1" a="1"/>
  <c r="J69" i="1" s="1"/>
  <c r="I96" i="1" a="1"/>
  <c r="I96" i="1" s="1"/>
  <c r="J81" i="1" a="1"/>
  <c r="J81" i="1" s="1"/>
  <c r="I100" i="1" a="1"/>
  <c r="I100" i="1" s="1"/>
  <c r="I71" i="1" a="1"/>
  <c r="I71" i="1" s="1"/>
  <c r="J101" i="1" a="1"/>
  <c r="J101" i="1" s="1"/>
  <c r="J84" i="1" a="1"/>
  <c r="J84" i="1" s="1"/>
  <c r="I109" i="1" a="1"/>
  <c r="I109" i="1" s="1"/>
  <c r="J118" i="1" a="1"/>
  <c r="J118" i="1" s="1"/>
  <c r="J149" i="1" a="1"/>
  <c r="J149" i="1" s="1"/>
  <c r="I128" i="1" a="1"/>
  <c r="I128" i="1" s="1"/>
  <c r="I130" i="1" a="1"/>
  <c r="I130" i="1" s="1"/>
  <c r="I201" i="1" a="1"/>
  <c r="I201" i="1" s="1"/>
  <c r="I127" i="1" a="1"/>
  <c r="I127" i="1" s="1"/>
  <c r="J161" i="1" a="1"/>
  <c r="J161" i="1" s="1"/>
  <c r="J127" i="1" a="1"/>
  <c r="J127" i="1" s="1"/>
  <c r="I114" i="1" a="1"/>
  <c r="I114" i="1" s="1"/>
  <c r="J140" i="1" a="1"/>
  <c r="J140" i="1" s="1"/>
  <c r="I142" i="1" a="1"/>
  <c r="I142" i="1" s="1"/>
  <c r="I225" i="1" a="1"/>
  <c r="I225" i="1" s="1"/>
  <c r="I198" i="1" a="1"/>
  <c r="I198" i="1" s="1"/>
  <c r="I230" i="1" a="1"/>
  <c r="I230" i="1" s="1"/>
  <c r="I162" i="1" a="1"/>
  <c r="I162" i="1" s="1"/>
  <c r="I203" i="1" a="1"/>
  <c r="I203" i="1" s="1"/>
  <c r="I254" i="1" a="1"/>
  <c r="I254" i="1" s="1"/>
  <c r="J195" i="1" a="1"/>
  <c r="J195" i="1" s="1"/>
  <c r="J227" i="1" a="1"/>
  <c r="J227" i="1" s="1"/>
  <c r="I158" i="1" a="1"/>
  <c r="I158" i="1" s="1"/>
  <c r="I197" i="1" a="1"/>
  <c r="I197" i="1" s="1"/>
  <c r="I229" i="1" a="1"/>
  <c r="I229" i="1" s="1"/>
  <c r="I163" i="1" a="1"/>
  <c r="I163" i="1" s="1"/>
  <c r="J197" i="1" a="1"/>
  <c r="J197" i="1" s="1"/>
  <c r="J229" i="1" a="1"/>
  <c r="J229" i="1" s="1"/>
  <c r="J166" i="1" a="1"/>
  <c r="J166" i="1" s="1"/>
  <c r="J186" i="1" a="1"/>
  <c r="J186" i="1" s="1"/>
  <c r="J218" i="1" a="1"/>
  <c r="J218" i="1" s="1"/>
  <c r="J257" i="1" a="1"/>
  <c r="J257" i="1" s="1"/>
  <c r="I172" i="1" a="1"/>
  <c r="I172" i="1" s="1"/>
  <c r="I196" i="1" a="1"/>
  <c r="I196" i="1" s="1"/>
  <c r="I228" i="1" a="1"/>
  <c r="I228" i="1" s="1"/>
  <c r="I317" i="1" a="1"/>
  <c r="I317" i="1" s="1"/>
  <c r="J238" i="1" a="1"/>
  <c r="J238" i="1" s="1"/>
  <c r="J254" i="1" a="1"/>
  <c r="J254" i="1" s="1"/>
  <c r="I420" i="1" a="1"/>
  <c r="I420" i="1" s="1"/>
  <c r="I341" i="1" a="1"/>
  <c r="I341" i="1" s="1"/>
  <c r="J247" i="1" a="1"/>
  <c r="J247" i="1" s="1"/>
  <c r="J261" i="1" a="1"/>
  <c r="J261" i="1" s="1"/>
  <c r="J269" i="1" a="1"/>
  <c r="J269" i="1" s="1"/>
  <c r="I249" i="1" a="1"/>
  <c r="I249" i="1" s="1"/>
  <c r="I271" i="1" a="1"/>
  <c r="I271" i="1" s="1"/>
  <c r="J301" i="1" a="1"/>
  <c r="J301" i="1" s="1"/>
  <c r="J333" i="1" a="1"/>
  <c r="J333" i="1" s="1"/>
  <c r="J364" i="1" a="1"/>
  <c r="J364" i="1" s="1"/>
  <c r="I295" i="1" a="1"/>
  <c r="I295" i="1" s="1"/>
  <c r="I327" i="1" a="1"/>
  <c r="I327" i="1" s="1"/>
  <c r="J273" i="1" a="1"/>
  <c r="J273" i="1" s="1"/>
  <c r="J303" i="1" a="1"/>
  <c r="J303" i="1" s="1"/>
  <c r="J335" i="1" a="1"/>
  <c r="J335" i="1" s="1"/>
  <c r="I297" i="1" a="1"/>
  <c r="I297" i="1" s="1"/>
  <c r="I329" i="1" a="1"/>
  <c r="I329" i="1" s="1"/>
  <c r="I286" i="1" a="1"/>
  <c r="I286" i="1" s="1"/>
  <c r="I318" i="1" a="1"/>
  <c r="I318" i="1" s="1"/>
  <c r="I347" i="1" a="1"/>
  <c r="I347" i="1" s="1"/>
  <c r="I299" i="1" a="1"/>
  <c r="I299" i="1" s="1"/>
  <c r="I331" i="1" a="1"/>
  <c r="I331" i="1" s="1"/>
  <c r="I288" i="1" a="1"/>
  <c r="I288" i="1" s="1"/>
  <c r="I320" i="1" a="1"/>
  <c r="I320" i="1" s="1"/>
  <c r="J352" i="1" a="1"/>
  <c r="J352" i="1" s="1"/>
  <c r="I392" i="1" a="1"/>
  <c r="I392" i="1" s="1"/>
  <c r="I371" i="1" a="1"/>
  <c r="I371" i="1" s="1"/>
  <c r="I350" i="1" a="1"/>
  <c r="I350" i="1" s="1"/>
  <c r="I366" i="1" a="1"/>
  <c r="I366" i="1" s="1"/>
  <c r="J372" i="1" a="1"/>
  <c r="J372" i="1" s="1"/>
  <c r="J350" i="1" a="1"/>
  <c r="J350" i="1" s="1"/>
  <c r="J366" i="1" a="1"/>
  <c r="J366" i="1" s="1"/>
  <c r="I382" i="1" a="1"/>
  <c r="I382" i="1" s="1"/>
  <c r="I385" i="1" a="1"/>
  <c r="I385" i="1" s="1"/>
  <c r="I356" i="1" a="1"/>
  <c r="I356" i="1" s="1"/>
  <c r="J384" i="1" a="1"/>
  <c r="J384" i="1" s="1"/>
  <c r="I419" i="1" a="1"/>
  <c r="I419" i="1" s="1"/>
  <c r="J421" i="1" a="1"/>
  <c r="J421" i="1" s="1"/>
  <c r="J423" i="1" a="1"/>
  <c r="J423" i="1" s="1"/>
  <c r="J460" i="1" a="1"/>
  <c r="J460" i="1" s="1"/>
  <c r="J427" i="1" a="1"/>
  <c r="J427" i="1" s="1"/>
  <c r="I443" i="1" a="1"/>
  <c r="I443" i="1" s="1"/>
  <c r="I435" i="1" a="1"/>
  <c r="I435" i="1" s="1"/>
  <c r="J401" i="1" a="1"/>
  <c r="J401" i="1" s="1"/>
  <c r="J435" i="1" a="1"/>
  <c r="J435" i="1" s="1"/>
  <c r="I489" i="1" a="1"/>
  <c r="I489" i="1" s="1"/>
  <c r="J439" i="1" a="1"/>
  <c r="J439" i="1" s="1"/>
  <c r="I496" i="1" a="1"/>
  <c r="I496" i="1" s="1"/>
  <c r="J412" i="1" a="1"/>
  <c r="J412" i="1" s="1"/>
  <c r="I478" i="1" a="1"/>
  <c r="I478" i="1" s="1"/>
  <c r="I459" i="1" a="1"/>
  <c r="I459" i="1" s="1"/>
  <c r="J520" i="1" a="1"/>
  <c r="J520" i="1" s="1"/>
  <c r="J483" i="1" a="1"/>
  <c r="J483" i="1" s="1"/>
  <c r="I452" i="1" a="1"/>
  <c r="I452" i="1" s="1"/>
  <c r="I485" i="1" a="1"/>
  <c r="I485" i="1" s="1"/>
  <c r="I482" i="1" a="1"/>
  <c r="I482" i="1" s="1"/>
  <c r="I453" i="1" a="1"/>
  <c r="I453" i="1" s="1"/>
  <c r="J482" i="1" a="1"/>
  <c r="J482" i="1" s="1"/>
  <c r="J463" i="1" a="1"/>
  <c r="J463" i="1" s="1"/>
  <c r="J500" i="1" a="1"/>
  <c r="J500" i="1" s="1"/>
  <c r="I523" i="1" a="1"/>
  <c r="I523" i="1" s="1"/>
  <c r="I509" i="1" a="1"/>
  <c r="I509" i="1" s="1"/>
  <c r="J508" i="1" a="1"/>
  <c r="J508" i="1" s="1"/>
  <c r="I494" i="1" a="1"/>
  <c r="I494" i="1" s="1"/>
  <c r="I500" i="1" a="1"/>
  <c r="I500" i="1" s="1"/>
  <c r="J498" i="1" a="1"/>
  <c r="J498" i="1" s="1"/>
  <c r="I537" i="1" a="1"/>
  <c r="I537" i="1" s="1"/>
  <c r="I533" i="1" a="1"/>
  <c r="I533" i="1" s="1"/>
  <c r="J517" i="1" a="1"/>
  <c r="J517" i="1" s="1"/>
  <c r="I520" i="1" a="1"/>
  <c r="I520" i="1" s="1"/>
  <c r="H9" i="1" a="1"/>
  <c r="H9" i="1" s="1"/>
  <c r="G44" i="1" a="1"/>
  <c r="G44" i="1" s="1"/>
  <c r="H10" i="1" a="1"/>
  <c r="H10" i="1" s="1"/>
  <c r="G27" i="1" a="1"/>
  <c r="G27" i="1" s="1"/>
  <c r="G49" i="1" a="1"/>
  <c r="G49" i="1" s="1"/>
  <c r="H36" i="1" a="1"/>
  <c r="H36" i="1" s="1"/>
  <c r="H49" i="1" a="1"/>
  <c r="H49" i="1" s="1"/>
  <c r="G12" i="1" a="1"/>
  <c r="G12" i="1" s="1"/>
  <c r="G32" i="1" a="1"/>
  <c r="G32" i="1" s="1"/>
  <c r="G59" i="1" a="1"/>
  <c r="G59" i="1" s="1"/>
  <c r="H43" i="1" a="1"/>
  <c r="H43" i="1" s="1"/>
  <c r="G53" i="1" a="1"/>
  <c r="G53" i="1" s="1"/>
  <c r="G50" i="1" a="1"/>
  <c r="G50" i="1" s="1"/>
  <c r="G26" i="1" a="1"/>
  <c r="G26" i="1" s="1"/>
  <c r="H58" i="1" a="1"/>
  <c r="H58" i="1" s="1"/>
  <c r="H85" i="1" a="1"/>
  <c r="H85" i="1" s="1"/>
  <c r="H90" i="1" a="1"/>
  <c r="H90" i="1" s="1"/>
  <c r="G77" i="1" a="1"/>
  <c r="G77" i="1" s="1"/>
  <c r="G99" i="1" a="1"/>
  <c r="G99" i="1" s="1"/>
  <c r="G195" i="1" a="1"/>
  <c r="G195" i="1" s="1"/>
  <c r="H99" i="1" a="1"/>
  <c r="H99" i="1" s="1"/>
  <c r="G211" i="1" a="1"/>
  <c r="G211" i="1" s="1"/>
  <c r="G89" i="1" a="1"/>
  <c r="G89" i="1" s="1"/>
  <c r="G108" i="1" a="1"/>
  <c r="G108" i="1" s="1"/>
  <c r="H105" i="1" a="1"/>
  <c r="H105" i="1" s="1"/>
  <c r="G69" i="1" a="1"/>
  <c r="G69" i="1" s="1"/>
  <c r="H109" i="1" a="1"/>
  <c r="H109" i="1" s="1"/>
  <c r="H78" i="1" a="1"/>
  <c r="H78" i="1" s="1"/>
  <c r="G113" i="1" a="1"/>
  <c r="G113" i="1" s="1"/>
  <c r="G141" i="1" a="1"/>
  <c r="G141" i="1" s="1"/>
  <c r="H141" i="1" a="1"/>
  <c r="H141" i="1" s="1"/>
  <c r="G140" i="1" a="1"/>
  <c r="G140" i="1" s="1"/>
  <c r="G115" i="1" a="1"/>
  <c r="G115" i="1" s="1"/>
  <c r="G145" i="1" a="1"/>
  <c r="G145" i="1" s="1"/>
  <c r="G142" i="1" a="1"/>
  <c r="G142" i="1" s="1"/>
  <c r="H126" i="1" a="1"/>
  <c r="H126" i="1" s="1"/>
  <c r="H156" i="1" a="1"/>
  <c r="H156" i="1" s="1"/>
  <c r="H131" i="1" a="1"/>
  <c r="H131" i="1" s="1"/>
  <c r="H214" i="1" a="1"/>
  <c r="H214" i="1" s="1"/>
  <c r="H187" i="1" a="1"/>
  <c r="H187" i="1" s="1"/>
  <c r="H219" i="1" a="1"/>
  <c r="H219" i="1" s="1"/>
  <c r="G163" i="1" a="1"/>
  <c r="G163" i="1" s="1"/>
  <c r="G205" i="1" a="1"/>
  <c r="G205" i="1" s="1"/>
  <c r="G236" i="1" a="1"/>
  <c r="G236" i="1" s="1"/>
  <c r="G166" i="1" a="1"/>
  <c r="G166" i="1" s="1"/>
  <c r="G194" i="1" a="1"/>
  <c r="G194" i="1" s="1"/>
  <c r="G226" i="1" a="1"/>
  <c r="G226" i="1" s="1"/>
  <c r="G155" i="1" a="1"/>
  <c r="G155" i="1" s="1"/>
  <c r="G172" i="1" a="1"/>
  <c r="G172" i="1" s="1"/>
  <c r="G199" i="1" a="1"/>
  <c r="G199" i="1" s="1"/>
  <c r="G231" i="1" a="1"/>
  <c r="G231" i="1" s="1"/>
  <c r="H171" i="1" a="1"/>
  <c r="H171" i="1" s="1"/>
  <c r="G196" i="1" a="1"/>
  <c r="G196" i="1" s="1"/>
  <c r="G228" i="1" a="1"/>
  <c r="G228" i="1" s="1"/>
  <c r="H174" i="1" a="1"/>
  <c r="H174" i="1" s="1"/>
  <c r="H204" i="1" a="1"/>
  <c r="H204" i="1" s="1"/>
  <c r="H255" i="1" a="1"/>
  <c r="H255" i="1" s="1"/>
  <c r="H193" i="1" a="1"/>
  <c r="H193" i="1" s="1"/>
  <c r="H225" i="1" a="1"/>
  <c r="H225" i="1" s="1"/>
  <c r="H290" i="1" a="1"/>
  <c r="H290" i="1" s="1"/>
  <c r="G430" i="1" a="1"/>
  <c r="G430" i="1" s="1"/>
  <c r="G249" i="1" a="1"/>
  <c r="G249" i="1" s="1"/>
  <c r="G287" i="1" a="1"/>
  <c r="G287" i="1" s="1"/>
  <c r="H314" i="1" a="1"/>
  <c r="H314" i="1" s="1"/>
  <c r="G246" i="1" a="1"/>
  <c r="G246" i="1" s="1"/>
  <c r="H266" i="1" a="1"/>
  <c r="H266" i="1" s="1"/>
  <c r="G239" i="1" a="1"/>
  <c r="G239" i="1" s="1"/>
  <c r="G255" i="1" a="1"/>
  <c r="G255" i="1" s="1"/>
  <c r="G327" i="1" a="1"/>
  <c r="G327" i="1" s="1"/>
  <c r="G300" i="1" a="1"/>
  <c r="G300" i="1" s="1"/>
  <c r="G332" i="1" a="1"/>
  <c r="G332" i="1" s="1"/>
  <c r="H284" i="1" a="1"/>
  <c r="H284" i="1" s="1"/>
  <c r="H316" i="1" a="1"/>
  <c r="H316" i="1" s="1"/>
  <c r="H366" i="1" a="1"/>
  <c r="H366" i="1" s="1"/>
  <c r="G302" i="1" a="1"/>
  <c r="G302" i="1" s="1"/>
  <c r="G334" i="1" a="1"/>
  <c r="G334" i="1" s="1"/>
  <c r="G272" i="1" a="1"/>
  <c r="G272" i="1" s="1"/>
  <c r="H302" i="1" a="1"/>
  <c r="H302" i="1" s="1"/>
  <c r="H334" i="1" a="1"/>
  <c r="H334" i="1" s="1"/>
  <c r="H283" i="1" a="1"/>
  <c r="H283" i="1" s="1"/>
  <c r="H315" i="1" a="1"/>
  <c r="H315" i="1" s="1"/>
  <c r="G351" i="1" a="1"/>
  <c r="G351" i="1" s="1"/>
  <c r="G277" i="1" a="1"/>
  <c r="G277" i="1" s="1"/>
  <c r="G309" i="1" a="1"/>
  <c r="G309" i="1" s="1"/>
  <c r="G341" i="1" a="1"/>
  <c r="G341" i="1" s="1"/>
  <c r="G290" i="1" a="1"/>
  <c r="G290" i="1" s="1"/>
  <c r="G322" i="1" a="1"/>
  <c r="G322" i="1" s="1"/>
  <c r="G370" i="1" a="1"/>
  <c r="G370" i="1" s="1"/>
  <c r="H373" i="1" a="1"/>
  <c r="H373" i="1" s="1"/>
  <c r="H347" i="1" a="1"/>
  <c r="H347" i="1" s="1"/>
  <c r="H363" i="1" a="1"/>
  <c r="H363" i="1" s="1"/>
  <c r="G382" i="1" a="1"/>
  <c r="G382" i="1" s="1"/>
  <c r="G386" i="1" a="1"/>
  <c r="G386" i="1" s="1"/>
  <c r="H356" i="1" a="1"/>
  <c r="H356" i="1" s="1"/>
  <c r="H386" i="1" a="1"/>
  <c r="H386" i="1" s="1"/>
  <c r="H389" i="1" a="1"/>
  <c r="H389" i="1" s="1"/>
  <c r="H426" i="1" a="1"/>
  <c r="H426" i="1" s="1"/>
  <c r="G362" i="1" a="1"/>
  <c r="G362" i="1" s="1"/>
  <c r="G398" i="1" a="1"/>
  <c r="G398" i="1" s="1"/>
  <c r="G406" i="1" a="1"/>
  <c r="G406" i="1" s="1"/>
  <c r="G436" i="1" a="1"/>
  <c r="G436" i="1" s="1"/>
  <c r="H432" i="1" a="1"/>
  <c r="H432" i="1" s="1"/>
  <c r="H447" i="1" a="1"/>
  <c r="H447" i="1" s="1"/>
  <c r="G411" i="1" a="1"/>
  <c r="G411" i="1" s="1"/>
  <c r="H409" i="1" a="1"/>
  <c r="H409" i="1" s="1"/>
  <c r="H441" i="1" a="1"/>
  <c r="H441" i="1" s="1"/>
  <c r="H413" i="1" a="1"/>
  <c r="H413" i="1" s="1"/>
  <c r="H462" i="1" a="1"/>
  <c r="H462" i="1" s="1"/>
  <c r="G422" i="1" a="1"/>
  <c r="G422" i="1" s="1"/>
  <c r="G405" i="1" a="1"/>
  <c r="G405" i="1" s="1"/>
  <c r="G428" i="1" a="1"/>
  <c r="G428" i="1" s="1"/>
  <c r="H483" i="1" a="1"/>
  <c r="H483" i="1" s="1"/>
  <c r="G461" i="1" a="1"/>
  <c r="G461" i="1" s="1"/>
  <c r="H493" i="1" a="1"/>
  <c r="H493" i="1" s="1"/>
  <c r="H469" i="1" a="1"/>
  <c r="H469" i="1" s="1"/>
  <c r="H445" i="1" a="1"/>
  <c r="H445" i="1" s="1"/>
  <c r="H466" i="1" a="1"/>
  <c r="H466" i="1" s="1"/>
  <c r="G498" i="1" a="1"/>
  <c r="G498" i="1" s="1"/>
  <c r="G484" i="1" a="1"/>
  <c r="G484" i="1" s="1"/>
  <c r="H450" i="1" a="1"/>
  <c r="H450" i="1" s="1"/>
  <c r="G481" i="1" a="1"/>
  <c r="G481" i="1" s="1"/>
  <c r="G470" i="1" a="1"/>
  <c r="G470" i="1" s="1"/>
  <c r="G507" i="1" a="1"/>
  <c r="G507" i="1" s="1"/>
  <c r="H511" i="1" a="1"/>
  <c r="H511" i="1" s="1"/>
  <c r="G495" i="1" a="1"/>
  <c r="G495" i="1" s="1"/>
  <c r="H502" i="1" a="1"/>
  <c r="H502" i="1" s="1"/>
  <c r="H500" i="1" a="1"/>
  <c r="H500" i="1" s="1"/>
  <c r="H530" i="1" a="1"/>
  <c r="H530" i="1" s="1"/>
  <c r="H526" i="1" a="1"/>
  <c r="H526" i="1" s="1"/>
  <c r="H522" i="1" a="1"/>
  <c r="H522" i="1" s="1"/>
  <c r="H515" i="1" a="1"/>
  <c r="H515" i="1" s="1"/>
  <c r="H536" i="1" a="1"/>
  <c r="H536" i="1" s="1"/>
  <c r="I20" i="1" a="1"/>
  <c r="I20" i="1" s="1"/>
  <c r="I11" i="1" a="1"/>
  <c r="I11" i="1" s="1"/>
  <c r="J28" i="1" a="1"/>
  <c r="J28" i="1" s="1"/>
  <c r="I63" i="1" a="1"/>
  <c r="I63" i="1" s="1"/>
  <c r="I60" i="1" a="1"/>
  <c r="I60" i="1" s="1"/>
  <c r="J21" i="1" a="1"/>
  <c r="J21" i="1" s="1"/>
  <c r="J44" i="1" a="1"/>
  <c r="J44" i="1" s="1"/>
  <c r="I10" i="1" a="1"/>
  <c r="I10" i="1" s="1"/>
  <c r="J36" i="1" a="1"/>
  <c r="J36" i="1" s="1"/>
  <c r="J57" i="1" a="1"/>
  <c r="J57" i="1" s="1"/>
  <c r="J40" i="1" a="1"/>
  <c r="J40" i="1" s="1"/>
  <c r="J26" i="1" a="1"/>
  <c r="J26" i="1" s="1"/>
  <c r="J59" i="1" a="1"/>
  <c r="J59" i="1" s="1"/>
  <c r="J31" i="1" a="1"/>
  <c r="J31" i="1" s="1"/>
  <c r="J67" i="1" a="1"/>
  <c r="J67" i="1" s="1"/>
  <c r="J91" i="1" a="1"/>
  <c r="J91" i="1" s="1"/>
  <c r="J80" i="1" a="1"/>
  <c r="J80" i="1" s="1"/>
  <c r="I73" i="1" a="1"/>
  <c r="I73" i="1" s="1"/>
  <c r="J76" i="1" a="1"/>
  <c r="J76" i="1" s="1"/>
  <c r="I70" i="1" a="1"/>
  <c r="I70" i="1" s="1"/>
  <c r="I97" i="1" a="1"/>
  <c r="I97" i="1" s="1"/>
  <c r="I86" i="1" a="1"/>
  <c r="I86" i="1" s="1"/>
  <c r="I101" i="1" a="1"/>
  <c r="I101" i="1" s="1"/>
  <c r="I75" i="1" a="1"/>
  <c r="I75" i="1" s="1"/>
  <c r="J102" i="1" a="1"/>
  <c r="J102" i="1" s="1"/>
  <c r="I89" i="1" a="1"/>
  <c r="I89" i="1" s="1"/>
  <c r="I110" i="1" a="1"/>
  <c r="I110" i="1" s="1"/>
  <c r="I123" i="1" a="1"/>
  <c r="I123" i="1" s="1"/>
  <c r="J173" i="1" a="1"/>
  <c r="J173" i="1" s="1"/>
  <c r="J131" i="1" a="1"/>
  <c r="J131" i="1" s="1"/>
  <c r="J133" i="1" a="1"/>
  <c r="J133" i="1" s="1"/>
  <c r="I217" i="1" a="1"/>
  <c r="I217" i="1" s="1"/>
  <c r="J130" i="1" a="1"/>
  <c r="J130" i="1" s="1"/>
  <c r="J172" i="1" a="1"/>
  <c r="J172" i="1" s="1"/>
  <c r="I132" i="1" a="1"/>
  <c r="I132" i="1" s="1"/>
  <c r="J117" i="1" a="1"/>
  <c r="J117" i="1" s="1"/>
  <c r="I145" i="1" a="1"/>
  <c r="I145" i="1" s="1"/>
  <c r="J145" i="1" a="1"/>
  <c r="J145" i="1" s="1"/>
  <c r="J159" i="1" a="1"/>
  <c r="J159" i="1" s="1"/>
  <c r="J201" i="1" a="1"/>
  <c r="J201" i="1" s="1"/>
  <c r="J233" i="1" a="1"/>
  <c r="J233" i="1" s="1"/>
  <c r="J164" i="1" a="1"/>
  <c r="J164" i="1" s="1"/>
  <c r="J206" i="1" a="1"/>
  <c r="J206" i="1" s="1"/>
  <c r="I160" i="1" a="1"/>
  <c r="I160" i="1" s="1"/>
  <c r="I200" i="1" a="1"/>
  <c r="I200" i="1" s="1"/>
  <c r="I232" i="1" a="1"/>
  <c r="I232" i="1" s="1"/>
  <c r="J160" i="1" a="1"/>
  <c r="J160" i="1" s="1"/>
  <c r="J200" i="1" a="1"/>
  <c r="J200" i="1" s="1"/>
  <c r="J232" i="1" a="1"/>
  <c r="J232" i="1" s="1"/>
  <c r="I166" i="1" a="1"/>
  <c r="I166" i="1" s="1"/>
  <c r="I202" i="1" a="1"/>
  <c r="I202" i="1" s="1"/>
  <c r="I234" i="1" a="1"/>
  <c r="I234" i="1" s="1"/>
  <c r="I168" i="1" a="1"/>
  <c r="I168" i="1" s="1"/>
  <c r="I191" i="1" a="1"/>
  <c r="I191" i="1" s="1"/>
  <c r="I223" i="1" a="1"/>
  <c r="I223" i="1" s="1"/>
  <c r="J312" i="1" a="1"/>
  <c r="J312" i="1" s="1"/>
  <c r="I173" i="1" a="1"/>
  <c r="I173" i="1" s="1"/>
  <c r="J199" i="1" a="1"/>
  <c r="J199" i="1" s="1"/>
  <c r="J231" i="1" a="1"/>
  <c r="J231" i="1" s="1"/>
  <c r="I333" i="1" a="1"/>
  <c r="I333" i="1" s="1"/>
  <c r="I239" i="1" a="1"/>
  <c r="I239" i="1" s="1"/>
  <c r="I255" i="1" a="1"/>
  <c r="I255" i="1" s="1"/>
  <c r="I261" i="1" a="1"/>
  <c r="I261" i="1" s="1"/>
  <c r="I398" i="1" a="1"/>
  <c r="I398" i="1" s="1"/>
  <c r="I248" i="1" a="1"/>
  <c r="I248" i="1" s="1"/>
  <c r="J264" i="1" a="1"/>
  <c r="J264" i="1" s="1"/>
  <c r="J236" i="1" a="1"/>
  <c r="J236" i="1" s="1"/>
  <c r="J252" i="1" a="1"/>
  <c r="J252" i="1" s="1"/>
  <c r="I274" i="1" a="1"/>
  <c r="I274" i="1" s="1"/>
  <c r="I306" i="1" a="1"/>
  <c r="I306" i="1" s="1"/>
  <c r="I338" i="1" a="1"/>
  <c r="I338" i="1" s="1"/>
  <c r="I396" i="1" a="1"/>
  <c r="I396" i="1" s="1"/>
  <c r="J298" i="1" a="1"/>
  <c r="J298" i="1" s="1"/>
  <c r="J330" i="1" a="1"/>
  <c r="J330" i="1" s="1"/>
  <c r="I276" i="1" a="1"/>
  <c r="I276" i="1" s="1"/>
  <c r="I308" i="1" a="1"/>
  <c r="I308" i="1" s="1"/>
  <c r="I340" i="1" a="1"/>
  <c r="I340" i="1" s="1"/>
  <c r="J300" i="1" a="1"/>
  <c r="J300" i="1" s="1"/>
  <c r="J332" i="1" a="1"/>
  <c r="J332" i="1" s="1"/>
  <c r="J289" i="1" a="1"/>
  <c r="J289" i="1" s="1"/>
  <c r="J321" i="1" a="1"/>
  <c r="J321" i="1" s="1"/>
  <c r="I397" i="1" a="1"/>
  <c r="I397" i="1" s="1"/>
  <c r="J302" i="1" a="1"/>
  <c r="J302" i="1" s="1"/>
  <c r="J334" i="1" a="1"/>
  <c r="J334" i="1" s="1"/>
  <c r="J291" i="1" a="1"/>
  <c r="J291" i="1" s="1"/>
  <c r="J323" i="1" a="1"/>
  <c r="J323" i="1" s="1"/>
  <c r="J356" i="1" a="1"/>
  <c r="J356" i="1" s="1"/>
  <c r="I393" i="1" a="1"/>
  <c r="I393" i="1" s="1"/>
  <c r="J395" i="1" a="1"/>
  <c r="J395" i="1" s="1"/>
  <c r="J353" i="1" a="1"/>
  <c r="J353" i="1" s="1"/>
  <c r="J369" i="1" a="1"/>
  <c r="J369" i="1" s="1"/>
  <c r="J373" i="1" a="1"/>
  <c r="J373" i="1" s="1"/>
  <c r="I351" i="1" a="1"/>
  <c r="I351" i="1" s="1"/>
  <c r="I367" i="1" a="1"/>
  <c r="I367" i="1" s="1"/>
  <c r="I383" i="1" a="1"/>
  <c r="I383" i="1" s="1"/>
  <c r="I386" i="1" a="1"/>
  <c r="I386" i="1" s="1"/>
  <c r="J359" i="1" a="1"/>
  <c r="J359" i="1" s="1"/>
  <c r="J385" i="1" a="1"/>
  <c r="J385" i="1" s="1"/>
  <c r="I400" i="1" a="1"/>
  <c r="I400" i="1" s="1"/>
  <c r="I423" i="1" a="1"/>
  <c r="I423" i="1" s="1"/>
  <c r="J424" i="1" a="1"/>
  <c r="J424" i="1" s="1"/>
  <c r="J468" i="1" a="1"/>
  <c r="J468" i="1" s="1"/>
  <c r="J428" i="1" a="1"/>
  <c r="J428" i="1" s="1"/>
  <c r="I457" i="1" a="1"/>
  <c r="I457" i="1" s="1"/>
  <c r="I436" i="1" a="1"/>
  <c r="I436" i="1" s="1"/>
  <c r="I402" i="1" a="1"/>
  <c r="I402" i="1" s="1"/>
  <c r="J436" i="1" a="1"/>
  <c r="J436" i="1" s="1"/>
  <c r="J408" i="1" a="1"/>
  <c r="J408" i="1" s="1"/>
  <c r="J440" i="1" a="1"/>
  <c r="J440" i="1" s="1"/>
  <c r="I399" i="1" a="1"/>
  <c r="I399" i="1" s="1"/>
  <c r="J413" i="1" a="1"/>
  <c r="J413" i="1" s="1"/>
  <c r="J481" i="1" a="1"/>
  <c r="J481" i="1" s="1"/>
  <c r="J462" i="1" a="1"/>
  <c r="J462" i="1" s="1"/>
  <c r="I456" i="1" a="1"/>
  <c r="I456" i="1" s="1"/>
  <c r="I488" i="1" a="1"/>
  <c r="I488" i="1" s="1"/>
  <c r="J456" i="1" a="1"/>
  <c r="J456" i="1" s="1"/>
  <c r="J488" i="1" a="1"/>
  <c r="J488" i="1" s="1"/>
  <c r="J485" i="1" a="1"/>
  <c r="J485" i="1" s="1"/>
  <c r="I455" i="1" a="1"/>
  <c r="I455" i="1" s="1"/>
  <c r="I487" i="1" a="1"/>
  <c r="I487" i="1" s="1"/>
  <c r="I468" i="1" a="1"/>
  <c r="I468" i="1" s="1"/>
  <c r="I505" i="1" a="1"/>
  <c r="I505" i="1" s="1"/>
  <c r="J492" i="1" a="1"/>
  <c r="J492" i="1" s="1"/>
  <c r="I510" i="1" a="1"/>
  <c r="I510" i="1" s="1"/>
  <c r="J509" i="1" a="1"/>
  <c r="J509" i="1" s="1"/>
  <c r="J497" i="1" a="1"/>
  <c r="J497" i="1" s="1"/>
  <c r="J504" i="1" a="1"/>
  <c r="J504" i="1" s="1"/>
  <c r="I499" i="1" a="1"/>
  <c r="I499" i="1" s="1"/>
  <c r="J516" i="1" a="1"/>
  <c r="J516" i="1" s="1"/>
  <c r="I535" i="1" a="1"/>
  <c r="I535" i="1" s="1"/>
  <c r="I518" i="1" a="1"/>
  <c r="I518" i="1" s="1"/>
  <c r="J531" i="1" a="1"/>
  <c r="J531" i="1" s="1"/>
  <c r="G10" i="1" a="1"/>
  <c r="G10" i="1" s="1"/>
  <c r="H47" i="1" a="1"/>
  <c r="H47" i="1" s="1"/>
  <c r="H14" i="1" a="1"/>
  <c r="H14" i="1" s="1"/>
  <c r="H30" i="1" a="1"/>
  <c r="H30" i="1" s="1"/>
  <c r="H52" i="1" a="1"/>
  <c r="H52" i="1" s="1"/>
  <c r="H37" i="1" a="1"/>
  <c r="H37" i="1" s="1"/>
  <c r="G54" i="1" a="1"/>
  <c r="G54" i="1" s="1"/>
  <c r="G16" i="1" a="1"/>
  <c r="G16" i="1" s="1"/>
  <c r="H39" i="1" a="1"/>
  <c r="H39" i="1" s="1"/>
  <c r="H62" i="1" a="1"/>
  <c r="H62" i="1" s="1"/>
  <c r="G48" i="1" a="1"/>
  <c r="G48" i="1" s="1"/>
  <c r="H56" i="1" a="1"/>
  <c r="H56" i="1" s="1"/>
  <c r="H53" i="1" a="1"/>
  <c r="H53" i="1" s="1"/>
  <c r="H29" i="1" a="1"/>
  <c r="H29" i="1" s="1"/>
  <c r="G63" i="1" a="1"/>
  <c r="G63" i="1" s="1"/>
  <c r="G90" i="1" a="1"/>
  <c r="G90" i="1" s="1"/>
  <c r="G95" i="1" a="1"/>
  <c r="G95" i="1" s="1"/>
  <c r="H81" i="1" a="1"/>
  <c r="H81" i="1" s="1"/>
  <c r="G100" i="1" a="1"/>
  <c r="G100" i="1" s="1"/>
  <c r="G75" i="1" a="1"/>
  <c r="G75" i="1" s="1"/>
  <c r="H100" i="1" a="1"/>
  <c r="H100" i="1" s="1"/>
  <c r="H67" i="1" a="1"/>
  <c r="H67" i="1" s="1"/>
  <c r="H93" i="1" a="1"/>
  <c r="H93" i="1" s="1"/>
  <c r="G109" i="1" a="1"/>
  <c r="G109" i="1" s="1"/>
  <c r="H106" i="1" a="1"/>
  <c r="H106" i="1" s="1"/>
  <c r="H72" i="1" a="1"/>
  <c r="H72" i="1" s="1"/>
  <c r="H110" i="1" a="1"/>
  <c r="H110" i="1" s="1"/>
  <c r="G83" i="1" a="1"/>
  <c r="G83" i="1" s="1"/>
  <c r="H116" i="1" a="1"/>
  <c r="H116" i="1" s="1"/>
  <c r="H144" i="1" a="1"/>
  <c r="H144" i="1" s="1"/>
  <c r="G146" i="1" a="1"/>
  <c r="G146" i="1" s="1"/>
  <c r="H143" i="1" a="1"/>
  <c r="H143" i="1" s="1"/>
  <c r="H118" i="1" a="1"/>
  <c r="H118" i="1" s="1"/>
  <c r="G153" i="1" a="1"/>
  <c r="G153" i="1" s="1"/>
  <c r="H145" i="1" a="1"/>
  <c r="H145" i="1" s="1"/>
  <c r="G131" i="1" a="1"/>
  <c r="G131" i="1" s="1"/>
  <c r="G187" i="1" a="1"/>
  <c r="G187" i="1" s="1"/>
  <c r="G136" i="1" a="1"/>
  <c r="G136" i="1" s="1"/>
  <c r="H230" i="1" a="1"/>
  <c r="H230" i="1" s="1"/>
  <c r="G192" i="1" a="1"/>
  <c r="G192" i="1" s="1"/>
  <c r="G224" i="1" a="1"/>
  <c r="G224" i="1" s="1"/>
  <c r="H176" i="1" a="1"/>
  <c r="H176" i="1" s="1"/>
  <c r="H208" i="1" a="1"/>
  <c r="H208" i="1" s="1"/>
  <c r="G240" i="1" a="1"/>
  <c r="G240" i="1" s="1"/>
  <c r="G167" i="1" a="1"/>
  <c r="G167" i="1" s="1"/>
  <c r="H197" i="1" a="1"/>
  <c r="H197" i="1" s="1"/>
  <c r="H229" i="1" a="1"/>
  <c r="H229" i="1" s="1"/>
  <c r="G159" i="1" a="1"/>
  <c r="G159" i="1" s="1"/>
  <c r="G173" i="1" a="1"/>
  <c r="G173" i="1" s="1"/>
  <c r="H202" i="1" a="1"/>
  <c r="H202" i="1" s="1"/>
  <c r="H234" i="1" a="1"/>
  <c r="H234" i="1" s="1"/>
  <c r="H172" i="1" a="1"/>
  <c r="H172" i="1" s="1"/>
  <c r="H199" i="1" a="1"/>
  <c r="H199" i="1" s="1"/>
  <c r="H231" i="1" a="1"/>
  <c r="H231" i="1" s="1"/>
  <c r="G177" i="1" a="1"/>
  <c r="G177" i="1" s="1"/>
  <c r="G209" i="1" a="1"/>
  <c r="G209" i="1" s="1"/>
  <c r="H157" i="1" a="1"/>
  <c r="H157" i="1" s="1"/>
  <c r="G198" i="1" a="1"/>
  <c r="G198" i="1" s="1"/>
  <c r="G230" i="1" a="1"/>
  <c r="G230" i="1" s="1"/>
  <c r="H306" i="1" a="1"/>
  <c r="H306" i="1" s="1"/>
  <c r="H236" i="1" a="1"/>
  <c r="H236" i="1" s="1"/>
  <c r="H252" i="1" a="1"/>
  <c r="H252" i="1" s="1"/>
  <c r="G303" i="1" a="1"/>
  <c r="G303" i="1" s="1"/>
  <c r="H330" i="1" a="1"/>
  <c r="H330" i="1" s="1"/>
  <c r="H249" i="1" a="1"/>
  <c r="H249" i="1" s="1"/>
  <c r="G271" i="1" a="1"/>
  <c r="G271" i="1" s="1"/>
  <c r="H242" i="1" a="1"/>
  <c r="H242" i="1" s="1"/>
  <c r="H258" i="1" a="1"/>
  <c r="H258" i="1" s="1"/>
  <c r="G343" i="1" a="1"/>
  <c r="G343" i="1" s="1"/>
  <c r="H303" i="1" a="1"/>
  <c r="H303" i="1" s="1"/>
  <c r="H335" i="1" a="1"/>
  <c r="H335" i="1" s="1"/>
  <c r="G289" i="1" a="1"/>
  <c r="G289" i="1" s="1"/>
  <c r="G321" i="1" a="1"/>
  <c r="G321" i="1" s="1"/>
  <c r="H370" i="1" a="1"/>
  <c r="H370" i="1" s="1"/>
  <c r="H305" i="1" a="1"/>
  <c r="H305" i="1" s="1"/>
  <c r="H337" i="1" a="1"/>
  <c r="H337" i="1" s="1"/>
  <c r="G275" i="1" a="1"/>
  <c r="G275" i="1" s="1"/>
  <c r="G307" i="1" a="1"/>
  <c r="G307" i="1" s="1"/>
  <c r="G339" i="1" a="1"/>
  <c r="G339" i="1" s="1"/>
  <c r="G288" i="1" a="1"/>
  <c r="G288" i="1" s="1"/>
  <c r="G320" i="1" a="1"/>
  <c r="G320" i="1" s="1"/>
  <c r="G355" i="1" a="1"/>
  <c r="G355" i="1" s="1"/>
  <c r="H280" i="1" a="1"/>
  <c r="H280" i="1" s="1"/>
  <c r="H312" i="1" a="1"/>
  <c r="H312" i="1" s="1"/>
  <c r="H344" i="1" a="1"/>
  <c r="H344" i="1" s="1"/>
  <c r="H293" i="1" a="1"/>
  <c r="H293" i="1" s="1"/>
  <c r="H325" i="1" a="1"/>
  <c r="H325" i="1" s="1"/>
  <c r="G371" i="1" a="1"/>
  <c r="G371" i="1" s="1"/>
  <c r="H374" i="1" a="1"/>
  <c r="H374" i="1" s="1"/>
  <c r="G348" i="1" a="1"/>
  <c r="G348" i="1" s="1"/>
  <c r="G364" i="1" a="1"/>
  <c r="G364" i="1" s="1"/>
  <c r="G383" i="1" a="1"/>
  <c r="G383" i="1" s="1"/>
  <c r="G387" i="1" a="1"/>
  <c r="G387" i="1" s="1"/>
  <c r="G357" i="1" a="1"/>
  <c r="G357" i="1" s="1"/>
  <c r="H387" i="1" a="1"/>
  <c r="H387" i="1" s="1"/>
  <c r="H390" i="1" a="1"/>
  <c r="H390" i="1" s="1"/>
  <c r="H349" i="1" a="1"/>
  <c r="H349" i="1" s="1"/>
  <c r="H365" i="1" a="1"/>
  <c r="H365" i="1" s="1"/>
  <c r="H424" i="1" a="1"/>
  <c r="H424" i="1" s="1"/>
  <c r="H428" i="1" a="1"/>
  <c r="H428" i="1" s="1"/>
  <c r="H443" i="1" a="1"/>
  <c r="H443" i="1" s="1"/>
  <c r="H433" i="1" a="1"/>
  <c r="H433" i="1" s="1"/>
  <c r="G399" i="1" a="1"/>
  <c r="G399" i="1" s="1"/>
  <c r="G412" i="1" a="1"/>
  <c r="G412" i="1" s="1"/>
  <c r="H410" i="1" a="1"/>
  <c r="H410" i="1" s="1"/>
  <c r="G483" i="1" a="1"/>
  <c r="G483" i="1" s="1"/>
  <c r="H414" i="1" a="1"/>
  <c r="H414" i="1" s="1"/>
  <c r="H470" i="1" a="1"/>
  <c r="H470" i="1" s="1"/>
  <c r="G423" i="1" a="1"/>
  <c r="G423" i="1" s="1"/>
  <c r="H420" i="1" a="1"/>
  <c r="H420" i="1" s="1"/>
  <c r="G444" i="1" a="1"/>
  <c r="G444" i="1" s="1"/>
  <c r="G488" i="1" a="1"/>
  <c r="G488" i="1" s="1"/>
  <c r="H464" i="1" a="1"/>
  <c r="H464" i="1" s="1"/>
  <c r="H497" i="1" a="1"/>
  <c r="H497" i="1" s="1"/>
  <c r="G474" i="1" a="1"/>
  <c r="G474" i="1" s="1"/>
  <c r="G446" i="1" a="1"/>
  <c r="G446" i="1" s="1"/>
  <c r="G471" i="1" a="1"/>
  <c r="G471" i="1" s="1"/>
  <c r="H455" i="1" a="1"/>
  <c r="H455" i="1" s="1"/>
  <c r="H487" i="1" a="1"/>
  <c r="H487" i="1" s="1"/>
  <c r="G451" i="1" a="1"/>
  <c r="G451" i="1" s="1"/>
  <c r="H484" i="1" a="1"/>
  <c r="H484" i="1" s="1"/>
  <c r="H473" i="1" a="1"/>
  <c r="H473" i="1" s="1"/>
  <c r="G508" i="1" a="1"/>
  <c r="G508" i="1" s="1"/>
  <c r="H512" i="1" a="1"/>
  <c r="H512" i="1" s="1"/>
  <c r="H498" i="1" a="1"/>
  <c r="H498" i="1" s="1"/>
  <c r="G517" i="1" a="1"/>
  <c r="G517" i="1" s="1"/>
  <c r="G505" i="1" a="1"/>
  <c r="G505" i="1" s="1"/>
  <c r="H492" i="1" a="1"/>
  <c r="H492" i="1" s="1"/>
  <c r="H528" i="1" a="1"/>
  <c r="H528" i="1" s="1"/>
  <c r="H524" i="1" a="1"/>
  <c r="H524" i="1" s="1"/>
  <c r="G516" i="1" a="1"/>
  <c r="G516" i="1" s="1"/>
  <c r="H525" i="1" a="1"/>
  <c r="H525" i="1" s="1"/>
  <c r="J23" i="1" a="1"/>
  <c r="J23" i="1" s="1"/>
  <c r="J12" i="1" a="1"/>
  <c r="J12" i="1" s="1"/>
  <c r="I29" i="1" a="1"/>
  <c r="I29" i="1" s="1"/>
  <c r="J66" i="1" a="1"/>
  <c r="J66" i="1" s="1"/>
  <c r="J63" i="1" a="1"/>
  <c r="J63" i="1" s="1"/>
  <c r="J25" i="1" a="1"/>
  <c r="J25" i="1" s="1"/>
  <c r="I49" i="1" a="1"/>
  <c r="I49" i="1" s="1"/>
  <c r="J13" i="1" a="1"/>
  <c r="J13" i="1" s="1"/>
  <c r="I38" i="1" a="1"/>
  <c r="I38" i="1" s="1"/>
  <c r="I62" i="1" a="1"/>
  <c r="I62" i="1" s="1"/>
  <c r="I42" i="1" a="1"/>
  <c r="I42" i="1" s="1"/>
  <c r="J30" i="1" a="1"/>
  <c r="J30" i="1" s="1"/>
  <c r="I64" i="1" a="1"/>
  <c r="I64" i="1" s="1"/>
  <c r="I32" i="1" a="1"/>
  <c r="I32" i="1" s="1"/>
  <c r="I68" i="1" a="1"/>
  <c r="I68" i="1" s="1"/>
  <c r="J107" i="1" a="1"/>
  <c r="J107" i="1" s="1"/>
  <c r="I85" i="1" a="1"/>
  <c r="I85" i="1" s="1"/>
  <c r="I76" i="1" a="1"/>
  <c r="I76" i="1" s="1"/>
  <c r="I81" i="1" a="1"/>
  <c r="I81" i="1" s="1"/>
  <c r="J73" i="1" a="1"/>
  <c r="J73" i="1" s="1"/>
  <c r="I98" i="1" a="1"/>
  <c r="I98" i="1" s="1"/>
  <c r="J88" i="1" a="1"/>
  <c r="J88" i="1" s="1"/>
  <c r="I102" i="1" a="1"/>
  <c r="I102" i="1" s="1"/>
  <c r="J79" i="1" a="1"/>
  <c r="J79" i="1" s="1"/>
  <c r="I104" i="1" a="1"/>
  <c r="I104" i="1" s="1"/>
  <c r="J93" i="1" a="1"/>
  <c r="J93" i="1" s="1"/>
  <c r="J111" i="1" a="1"/>
  <c r="J111" i="1" s="1"/>
  <c r="J126" i="1" a="1"/>
  <c r="J126" i="1" s="1"/>
  <c r="J188" i="1" a="1"/>
  <c r="J188" i="1" s="1"/>
  <c r="I136" i="1" a="1"/>
  <c r="I136" i="1" s="1"/>
  <c r="I138" i="1" a="1"/>
  <c r="I138" i="1" s="1"/>
  <c r="I233" i="1" a="1"/>
  <c r="I233" i="1" s="1"/>
  <c r="I135" i="1" a="1"/>
  <c r="I135" i="1" s="1"/>
  <c r="J180" i="1" a="1"/>
  <c r="J180" i="1" s="1"/>
  <c r="J135" i="1" a="1"/>
  <c r="J135" i="1" s="1"/>
  <c r="I118" i="1" a="1"/>
  <c r="I118" i="1" s="1"/>
  <c r="I265" i="1" a="1"/>
  <c r="I265" i="1" s="1"/>
  <c r="I147" i="1" a="1"/>
  <c r="I147" i="1" s="1"/>
  <c r="I164" i="1" a="1"/>
  <c r="I164" i="1" s="1"/>
  <c r="I206" i="1" a="1"/>
  <c r="I206" i="1" s="1"/>
  <c r="I250" i="1" a="1"/>
  <c r="I250" i="1" s="1"/>
  <c r="I179" i="1" a="1"/>
  <c r="I179" i="1" s="1"/>
  <c r="I211" i="1" a="1"/>
  <c r="I211" i="1" s="1"/>
  <c r="J162" i="1" a="1"/>
  <c r="J162" i="1" s="1"/>
  <c r="J203" i="1" a="1"/>
  <c r="J203" i="1" s="1"/>
  <c r="I258" i="1" a="1"/>
  <c r="I258" i="1" s="1"/>
  <c r="I165" i="1" a="1"/>
  <c r="I165" i="1" s="1"/>
  <c r="I205" i="1" a="1"/>
  <c r="I205" i="1" s="1"/>
  <c r="J237" i="1" a="1"/>
  <c r="J237" i="1" s="1"/>
  <c r="I167" i="1" a="1"/>
  <c r="I167" i="1" s="1"/>
  <c r="J205" i="1" a="1"/>
  <c r="J205" i="1" s="1"/>
  <c r="J253" i="1" a="1"/>
  <c r="J253" i="1" s="1"/>
  <c r="I169" i="1" a="1"/>
  <c r="I169" i="1" s="1"/>
  <c r="J194" i="1" a="1"/>
  <c r="J194" i="1" s="1"/>
  <c r="J226" i="1" a="1"/>
  <c r="J226" i="1" s="1"/>
  <c r="I159" i="1" a="1"/>
  <c r="I159" i="1" s="1"/>
  <c r="I174" i="1" a="1"/>
  <c r="I174" i="1" s="1"/>
  <c r="I204" i="1" a="1"/>
  <c r="I204" i="1" s="1"/>
  <c r="J328" i="1" a="1"/>
  <c r="J328" i="1" s="1"/>
  <c r="I262" i="1" a="1"/>
  <c r="I262" i="1" s="1"/>
  <c r="J242" i="1" a="1"/>
  <c r="J242" i="1" s="1"/>
  <c r="J258" i="1" a="1"/>
  <c r="J258" i="1" s="1"/>
  <c r="I264" i="1" a="1"/>
  <c r="I264" i="1" s="1"/>
  <c r="J235" i="1" a="1"/>
  <c r="J235" i="1" s="1"/>
  <c r="J251" i="1" a="1"/>
  <c r="J251" i="1" s="1"/>
  <c r="I269" i="1" a="1"/>
  <c r="I269" i="1" s="1"/>
  <c r="I237" i="1" a="1"/>
  <c r="I237" i="1" s="1"/>
  <c r="I253" i="1" a="1"/>
  <c r="I253" i="1" s="1"/>
  <c r="J277" i="1" a="1"/>
  <c r="J277" i="1" s="1"/>
  <c r="J309" i="1" a="1"/>
  <c r="J309" i="1" s="1"/>
  <c r="J341" i="1" a="1"/>
  <c r="J341" i="1" s="1"/>
  <c r="I273" i="1" a="1"/>
  <c r="I273" i="1" s="1"/>
  <c r="I303" i="1" a="1"/>
  <c r="I303" i="1" s="1"/>
  <c r="I335" i="1" a="1"/>
  <c r="I335" i="1" s="1"/>
  <c r="J279" i="1" a="1"/>
  <c r="J279" i="1" s="1"/>
  <c r="J311" i="1" a="1"/>
  <c r="J311" i="1" s="1"/>
  <c r="J343" i="1" a="1"/>
  <c r="J343" i="1" s="1"/>
  <c r="I305" i="1" a="1"/>
  <c r="I305" i="1" s="1"/>
  <c r="I337" i="1" a="1"/>
  <c r="I337" i="1" s="1"/>
  <c r="I294" i="1" a="1"/>
  <c r="I294" i="1" s="1"/>
  <c r="I326" i="1" a="1"/>
  <c r="I326" i="1" s="1"/>
  <c r="I275" i="1" a="1"/>
  <c r="I275" i="1" s="1"/>
  <c r="I307" i="1" a="1"/>
  <c r="I307" i="1" s="1"/>
  <c r="I339" i="1" a="1"/>
  <c r="I339" i="1" s="1"/>
  <c r="I296" i="1" a="1"/>
  <c r="I296" i="1" s="1"/>
  <c r="I328" i="1" a="1"/>
  <c r="I328" i="1" s="1"/>
  <c r="J360" i="1" a="1"/>
  <c r="J360" i="1" s="1"/>
  <c r="I394" i="1" a="1"/>
  <c r="I394" i="1" s="1"/>
  <c r="J396" i="1" a="1"/>
  <c r="J396" i="1" s="1"/>
  <c r="I354" i="1" a="1"/>
  <c r="I354" i="1" s="1"/>
  <c r="J370" i="1" a="1"/>
  <c r="J370" i="1" s="1"/>
  <c r="J374" i="1" a="1"/>
  <c r="J374" i="1" s="1"/>
  <c r="J354" i="1" a="1"/>
  <c r="J354" i="1" s="1"/>
  <c r="J375" i="1" a="1"/>
  <c r="J375" i="1" s="1"/>
  <c r="I421" i="1" a="1"/>
  <c r="I421" i="1" s="1"/>
  <c r="I387" i="1" a="1"/>
  <c r="I387" i="1" s="1"/>
  <c r="I360" i="1" a="1"/>
  <c r="I360" i="1" s="1"/>
  <c r="J386" i="1" a="1"/>
  <c r="J386" i="1" s="1"/>
  <c r="J403" i="1" a="1"/>
  <c r="J403" i="1" s="1"/>
  <c r="I424" i="1" a="1"/>
  <c r="I424" i="1" s="1"/>
  <c r="J425" i="1" a="1"/>
  <c r="J425" i="1" s="1"/>
  <c r="J476" i="1" a="1"/>
  <c r="J476" i="1" s="1"/>
  <c r="J429" i="1" a="1"/>
  <c r="J429" i="1" s="1"/>
  <c r="I465" i="1" a="1"/>
  <c r="I465" i="1" s="1"/>
  <c r="I437" i="1" a="1"/>
  <c r="I437" i="1" s="1"/>
  <c r="J405" i="1" a="1"/>
  <c r="J405" i="1" s="1"/>
  <c r="J437" i="1" a="1"/>
  <c r="J437" i="1" s="1"/>
  <c r="J409" i="1" a="1"/>
  <c r="J409" i="1" s="1"/>
  <c r="J441" i="1" a="1"/>
  <c r="J441" i="1" s="1"/>
  <c r="J402" i="1" a="1"/>
  <c r="J402" i="1" s="1"/>
  <c r="I415" i="1" a="1"/>
  <c r="I415" i="1" s="1"/>
  <c r="I486" i="1" a="1"/>
  <c r="I486" i="1" s="1"/>
  <c r="I467" i="1" a="1"/>
  <c r="I467" i="1" s="1"/>
  <c r="J459" i="1" a="1"/>
  <c r="J459" i="1" s="1"/>
  <c r="J529" i="1" a="1"/>
  <c r="J529" i="1" s="1"/>
  <c r="I461" i="1" a="1"/>
  <c r="I461" i="1" s="1"/>
  <c r="I458" i="1" a="1"/>
  <c r="I458" i="1" s="1"/>
  <c r="I503" i="1" a="1"/>
  <c r="I503" i="1" s="1"/>
  <c r="J458" i="1" a="1"/>
  <c r="J458" i="1" s="1"/>
  <c r="J491" i="1" a="1"/>
  <c r="J491" i="1" s="1"/>
  <c r="J471" i="1" a="1"/>
  <c r="J471" i="1" s="1"/>
  <c r="I515" i="1" a="1"/>
  <c r="I515" i="1" s="1"/>
  <c r="I493" i="1" a="1"/>
  <c r="I493" i="1" s="1"/>
  <c r="I511" i="1" a="1"/>
  <c r="I511" i="1" s="1"/>
  <c r="J510" i="1" a="1"/>
  <c r="J510" i="1" s="1"/>
  <c r="I498" i="1" a="1"/>
  <c r="I498" i="1" s="1"/>
  <c r="I521" i="1" a="1"/>
  <c r="I521" i="1" s="1"/>
  <c r="J502" i="1" a="1"/>
  <c r="J502" i="1" s="1"/>
  <c r="I517" i="1" a="1"/>
  <c r="I517" i="1" s="1"/>
  <c r="J537" i="1" a="1"/>
  <c r="J537" i="1" s="1"/>
  <c r="I522" i="1" a="1"/>
  <c r="I522" i="1" s="1"/>
  <c r="I536" i="1" a="1"/>
  <c r="I536" i="1" s="1"/>
  <c r="G14" i="1" a="1"/>
  <c r="G14" i="1" s="1"/>
  <c r="G52" i="1" a="1"/>
  <c r="G52" i="1" s="1"/>
  <c r="G15" i="1" a="1"/>
  <c r="G15" i="1" s="1"/>
  <c r="G31" i="1" a="1"/>
  <c r="G31" i="1" s="1"/>
  <c r="G57" i="1" a="1"/>
  <c r="G57" i="1" s="1"/>
  <c r="H38" i="1" a="1"/>
  <c r="H38" i="1" s="1"/>
  <c r="H57" i="1" a="1"/>
  <c r="H57" i="1" s="1"/>
  <c r="G20" i="1" a="1"/>
  <c r="G20" i="1" s="1"/>
  <c r="H40" i="1" a="1"/>
  <c r="H40" i="1" s="1"/>
  <c r="G67" i="1" a="1"/>
  <c r="G67" i="1" s="1"/>
  <c r="H51" i="1" a="1"/>
  <c r="H51" i="1" s="1"/>
  <c r="G61" i="1" a="1"/>
  <c r="G61" i="1" s="1"/>
  <c r="G58" i="1" a="1"/>
  <c r="G58" i="1" s="1"/>
  <c r="G30" i="1" a="1"/>
  <c r="G30" i="1" s="1"/>
  <c r="H66" i="1" a="1"/>
  <c r="H66" i="1" s="1"/>
  <c r="H92" i="1" a="1"/>
  <c r="H92" i="1" s="1"/>
  <c r="G96" i="1" a="1"/>
  <c r="G96" i="1" s="1"/>
  <c r="G86" i="1" a="1"/>
  <c r="G86" i="1" s="1"/>
  <c r="G101" i="1" a="1"/>
  <c r="G101" i="1" s="1"/>
  <c r="H79" i="1" a="1"/>
  <c r="H79" i="1" s="1"/>
  <c r="G102" i="1" a="1"/>
  <c r="G102" i="1" s="1"/>
  <c r="G68" i="1" a="1"/>
  <c r="G68" i="1" s="1"/>
  <c r="H101" i="1" a="1"/>
  <c r="H101" i="1" s="1"/>
  <c r="G227" i="1" a="1"/>
  <c r="G227" i="1" s="1"/>
  <c r="H107" i="1" a="1"/>
  <c r="H107" i="1" s="1"/>
  <c r="G73" i="1" a="1"/>
  <c r="G73" i="1" s="1"/>
  <c r="H117" i="1" a="1"/>
  <c r="H117" i="1" s="1"/>
  <c r="H87" i="1" a="1"/>
  <c r="H87" i="1" s="1"/>
  <c r="G117" i="1" a="1"/>
  <c r="G117" i="1" s="1"/>
  <c r="H243" i="1" a="1"/>
  <c r="H243" i="1" s="1"/>
  <c r="G152" i="1" a="1"/>
  <c r="G152" i="1" s="1"/>
  <c r="H148" i="1" a="1"/>
  <c r="H148" i="1" s="1"/>
  <c r="G121" i="1" a="1"/>
  <c r="G121" i="1" s="1"/>
  <c r="H270" i="1" a="1"/>
  <c r="H270" i="1" s="1"/>
  <c r="H247" i="1" a="1"/>
  <c r="H247" i="1" s="1"/>
  <c r="H134" i="1" a="1"/>
  <c r="H134" i="1" s="1"/>
  <c r="G203" i="1" a="1"/>
  <c r="G203" i="1" s="1"/>
  <c r="H139" i="1" a="1"/>
  <c r="H139" i="1" s="1"/>
  <c r="G158" i="1" a="1"/>
  <c r="G158" i="1" s="1"/>
  <c r="H195" i="1" a="1"/>
  <c r="H195" i="1" s="1"/>
  <c r="H227" i="1" a="1"/>
  <c r="H227" i="1" s="1"/>
  <c r="G181" i="1" a="1"/>
  <c r="G181" i="1" s="1"/>
  <c r="G213" i="1" a="1"/>
  <c r="G213" i="1" s="1"/>
  <c r="G244" i="1" a="1"/>
  <c r="G244" i="1" s="1"/>
  <c r="G168" i="1" a="1"/>
  <c r="G168" i="1" s="1"/>
  <c r="G202" i="1" a="1"/>
  <c r="G202" i="1" s="1"/>
  <c r="G234" i="1" a="1"/>
  <c r="G234" i="1" s="1"/>
  <c r="H163" i="1" a="1"/>
  <c r="H163" i="1" s="1"/>
  <c r="G175" i="1" a="1"/>
  <c r="G175" i="1" s="1"/>
  <c r="G207" i="1" a="1"/>
  <c r="G207" i="1" s="1"/>
  <c r="G260" i="1" a="1"/>
  <c r="G260" i="1" s="1"/>
  <c r="G174" i="1" a="1"/>
  <c r="G174" i="1" s="1"/>
  <c r="G204" i="1" a="1"/>
  <c r="G204" i="1" s="1"/>
  <c r="H251" i="1" a="1"/>
  <c r="H251" i="1" s="1"/>
  <c r="H180" i="1" a="1"/>
  <c r="H180" i="1" s="1"/>
  <c r="H212" i="1" a="1"/>
  <c r="H212" i="1" s="1"/>
  <c r="G162" i="1" a="1"/>
  <c r="G162" i="1" s="1"/>
  <c r="H201" i="1" a="1"/>
  <c r="H201" i="1" s="1"/>
  <c r="H233" i="1" a="1"/>
  <c r="H233" i="1" s="1"/>
  <c r="H322" i="1" a="1"/>
  <c r="H322" i="1" s="1"/>
  <c r="G237" i="1" a="1"/>
  <c r="G237" i="1" s="1"/>
  <c r="G253" i="1" a="1"/>
  <c r="G253" i="1" s="1"/>
  <c r="G319" i="1" a="1"/>
  <c r="G319" i="1" s="1"/>
  <c r="H346" i="1" a="1"/>
  <c r="H346" i="1" s="1"/>
  <c r="G250" i="1" a="1"/>
  <c r="G250" i="1" s="1"/>
  <c r="H273" i="1" a="1"/>
  <c r="H273" i="1" s="1"/>
  <c r="G243" i="1" a="1"/>
  <c r="G243" i="1" s="1"/>
  <c r="G259" i="1" a="1"/>
  <c r="G259" i="1" s="1"/>
  <c r="G276" i="1" a="1"/>
  <c r="G276" i="1" s="1"/>
  <c r="G308" i="1" a="1"/>
  <c r="G308" i="1" s="1"/>
  <c r="G340" i="1" a="1"/>
  <c r="G340" i="1" s="1"/>
  <c r="H292" i="1" a="1"/>
  <c r="H292" i="1" s="1"/>
  <c r="H324" i="1" a="1"/>
  <c r="H324" i="1" s="1"/>
  <c r="G278" i="1" a="1"/>
  <c r="G278" i="1" s="1"/>
  <c r="G310" i="1" a="1"/>
  <c r="G310" i="1" s="1"/>
  <c r="G342" i="1" a="1"/>
  <c r="G342" i="1" s="1"/>
  <c r="H278" i="1" a="1"/>
  <c r="H278" i="1" s="1"/>
  <c r="H310" i="1" a="1"/>
  <c r="H310" i="1" s="1"/>
  <c r="H342" i="1" a="1"/>
  <c r="H342" i="1" s="1"/>
  <c r="H291" i="1" a="1"/>
  <c r="H291" i="1" s="1"/>
  <c r="H323" i="1" a="1"/>
  <c r="H323" i="1" s="1"/>
  <c r="G359" i="1" a="1"/>
  <c r="G359" i="1" s="1"/>
  <c r="G285" i="1" a="1"/>
  <c r="G285" i="1" s="1"/>
  <c r="G317" i="1" a="1"/>
  <c r="G317" i="1" s="1"/>
  <c r="G367" i="1" a="1"/>
  <c r="G367" i="1" s="1"/>
  <c r="G298" i="1" a="1"/>
  <c r="G298" i="1" s="1"/>
  <c r="G330" i="1" a="1"/>
  <c r="G330" i="1" s="1"/>
  <c r="G372" i="1" a="1"/>
  <c r="G372" i="1" s="1"/>
  <c r="H375" i="1" a="1"/>
  <c r="H375" i="1" s="1"/>
  <c r="H351" i="1" a="1"/>
  <c r="H351" i="1" s="1"/>
  <c r="H367" i="1" a="1"/>
  <c r="H367" i="1" s="1"/>
  <c r="G384" i="1" a="1"/>
  <c r="G384" i="1" s="1"/>
  <c r="G388" i="1" a="1"/>
  <c r="G388" i="1" s="1"/>
  <c r="H360" i="1" a="1"/>
  <c r="H360" i="1" s="1"/>
  <c r="H388" i="1" a="1"/>
  <c r="H388" i="1" s="1"/>
  <c r="H391" i="1" a="1"/>
  <c r="H391" i="1" s="1"/>
  <c r="G350" i="1" a="1"/>
  <c r="G350" i="1" s="1"/>
  <c r="G366" i="1" a="1"/>
  <c r="G366" i="1" s="1"/>
  <c r="G429" i="1" a="1"/>
  <c r="G429" i="1" s="1"/>
  <c r="H429" i="1" a="1"/>
  <c r="H429" i="1" s="1"/>
  <c r="H444" i="1" a="1"/>
  <c r="H444" i="1" s="1"/>
  <c r="H434" i="1" a="1"/>
  <c r="H434" i="1" s="1"/>
  <c r="H402" i="1" a="1"/>
  <c r="H402" i="1" s="1"/>
  <c r="H436" i="1" a="1"/>
  <c r="H436" i="1" s="1"/>
  <c r="H411" i="1" a="1"/>
  <c r="H411" i="1" s="1"/>
  <c r="H399" i="1" a="1"/>
  <c r="H399" i="1" s="1"/>
  <c r="H415" i="1" a="1"/>
  <c r="H415" i="1" s="1"/>
  <c r="H478" i="1" a="1"/>
  <c r="H478" i="1" s="1"/>
  <c r="G424" i="1" a="1"/>
  <c r="G424" i="1" s="1"/>
  <c r="H421" i="1" a="1"/>
  <c r="H421" i="1" s="1"/>
  <c r="G448" i="1" a="1"/>
  <c r="G448" i="1" s="1"/>
  <c r="G513" i="1" a="1"/>
  <c r="G513" i="1" s="1"/>
  <c r="G469" i="1" a="1"/>
  <c r="G469" i="1" s="1"/>
  <c r="G504" i="1" a="1"/>
  <c r="G504" i="1" s="1"/>
  <c r="H477" i="1" a="1"/>
  <c r="H477" i="1" s="1"/>
  <c r="H449" i="1" a="1"/>
  <c r="H449" i="1" s="1"/>
  <c r="H474" i="1" a="1"/>
  <c r="H474" i="1" s="1"/>
  <c r="G460" i="1" a="1"/>
  <c r="G460" i="1" s="1"/>
  <c r="H509" i="1" a="1"/>
  <c r="H509" i="1" s="1"/>
  <c r="G457" i="1" a="1"/>
  <c r="G457" i="1" s="1"/>
  <c r="G489" i="1" a="1"/>
  <c r="G489" i="1" s="1"/>
  <c r="G478" i="1" a="1"/>
  <c r="G478" i="1" s="1"/>
  <c r="G509" i="1" a="1"/>
  <c r="G509" i="1" s="1"/>
  <c r="H513" i="1" a="1"/>
  <c r="H513" i="1" s="1"/>
  <c r="G499" i="1" a="1"/>
  <c r="G499" i="1" s="1"/>
  <c r="H519" i="1" a="1"/>
  <c r="H519" i="1" s="1"/>
  <c r="H517" i="1" a="1"/>
  <c r="H517" i="1" s="1"/>
  <c r="G493" i="1" a="1"/>
  <c r="G493" i="1" s="1"/>
  <c r="G531" i="1" a="1"/>
  <c r="G531" i="1" s="1"/>
  <c r="G527" i="1" a="1"/>
  <c r="G527" i="1" s="1"/>
  <c r="H520" i="1" a="1"/>
  <c r="H520" i="1" s="1"/>
  <c r="G530" i="1" a="1"/>
  <c r="G530" i="1" s="1"/>
  <c r="J45" i="1" a="1"/>
  <c r="J45" i="1" s="1"/>
  <c r="J16" i="1" a="1"/>
  <c r="J16" i="1" s="1"/>
  <c r="J32" i="1" a="1"/>
  <c r="J32" i="1" s="1"/>
  <c r="I13" i="1" a="1"/>
  <c r="I13" i="1" s="1"/>
  <c r="J10" i="1" a="1"/>
  <c r="J10" i="1" s="1"/>
  <c r="J29" i="1" a="1"/>
  <c r="J29" i="1" s="1"/>
  <c r="J52" i="1" a="1"/>
  <c r="J52" i="1" s="1"/>
  <c r="J17" i="1" a="1"/>
  <c r="J17" i="1" s="1"/>
  <c r="I39" i="1" a="1"/>
  <c r="I39" i="1" s="1"/>
  <c r="J65" i="1" a="1"/>
  <c r="J65" i="1" s="1"/>
  <c r="I43" i="1" a="1"/>
  <c r="I43" i="1" s="1"/>
  <c r="J41" i="1" a="1"/>
  <c r="J41" i="1" s="1"/>
  <c r="J11" i="1" a="1"/>
  <c r="J11" i="1" s="1"/>
  <c r="I45" i="1" a="1"/>
  <c r="I45" i="1" s="1"/>
  <c r="J71" i="1" a="1"/>
  <c r="J71" i="1" s="1"/>
  <c r="J108" i="1" a="1"/>
  <c r="J108" i="1" s="1"/>
  <c r="J89" i="1" a="1"/>
  <c r="J89" i="1" s="1"/>
  <c r="J78" i="1" a="1"/>
  <c r="J78" i="1" s="1"/>
  <c r="J85" i="1" a="1"/>
  <c r="J85" i="1" s="1"/>
  <c r="J74" i="1" a="1"/>
  <c r="J74" i="1" s="1"/>
  <c r="I99" i="1" a="1"/>
  <c r="I99" i="1" s="1"/>
  <c r="I93" i="1" a="1"/>
  <c r="I93" i="1" s="1"/>
  <c r="I103" i="1" a="1"/>
  <c r="I103" i="1" s="1"/>
  <c r="I84" i="1" a="1"/>
  <c r="I84" i="1" s="1"/>
  <c r="I105" i="1" a="1"/>
  <c r="I105" i="1" s="1"/>
  <c r="J103" i="1" a="1"/>
  <c r="J103" i="1" s="1"/>
  <c r="I125" i="1" a="1"/>
  <c r="I125" i="1" s="1"/>
  <c r="I131" i="1" a="1"/>
  <c r="I131" i="1" s="1"/>
  <c r="J204" i="1" a="1"/>
  <c r="J204" i="1" s="1"/>
  <c r="J139" i="1" a="1"/>
  <c r="J139" i="1" s="1"/>
  <c r="J141" i="1" a="1"/>
  <c r="J141" i="1" s="1"/>
  <c r="I113" i="1" a="1"/>
  <c r="I113" i="1" s="1"/>
  <c r="J138" i="1" a="1"/>
  <c r="J138" i="1" s="1"/>
  <c r="J196" i="1" a="1"/>
  <c r="J196" i="1" s="1"/>
  <c r="I140" i="1" a="1"/>
  <c r="I140" i="1" s="1"/>
  <c r="I121" i="1" a="1"/>
  <c r="I121" i="1" s="1"/>
  <c r="J121" i="1" a="1"/>
  <c r="J121" i="1" s="1"/>
  <c r="I151" i="1" a="1"/>
  <c r="I151" i="1" s="1"/>
  <c r="J177" i="1" a="1"/>
  <c r="J177" i="1" s="1"/>
  <c r="J209" i="1" a="1"/>
  <c r="J209" i="1" s="1"/>
  <c r="J151" i="1" a="1"/>
  <c r="J151" i="1" s="1"/>
  <c r="J182" i="1" a="1"/>
  <c r="J182" i="1" s="1"/>
  <c r="J214" i="1" a="1"/>
  <c r="J214" i="1" s="1"/>
  <c r="I176" i="1" a="1"/>
  <c r="I176" i="1" s="1"/>
  <c r="I208" i="1" a="1"/>
  <c r="I208" i="1" s="1"/>
  <c r="J148" i="1" a="1"/>
  <c r="J148" i="1" s="1"/>
  <c r="J176" i="1" a="1"/>
  <c r="J176" i="1" s="1"/>
  <c r="J208" i="1" a="1"/>
  <c r="J208" i="1" s="1"/>
  <c r="J241" i="1" a="1"/>
  <c r="J241" i="1" s="1"/>
  <c r="I178" i="1" a="1"/>
  <c r="I178" i="1" s="1"/>
  <c r="I210" i="1" a="1"/>
  <c r="I210" i="1" s="1"/>
  <c r="J268" i="1" a="1"/>
  <c r="J268" i="1" s="1"/>
  <c r="I170" i="1" a="1"/>
  <c r="I170" i="1" s="1"/>
  <c r="I199" i="1" a="1"/>
  <c r="I199" i="1" s="1"/>
  <c r="I231" i="1" a="1"/>
  <c r="I231" i="1" s="1"/>
  <c r="J163" i="1" a="1"/>
  <c r="J163" i="1" s="1"/>
  <c r="J175" i="1" a="1"/>
  <c r="J175" i="1" s="1"/>
  <c r="J207" i="1" a="1"/>
  <c r="J207" i="1" s="1"/>
  <c r="J263" i="1" a="1"/>
  <c r="J263" i="1" s="1"/>
  <c r="J265" i="1" a="1"/>
  <c r="J265" i="1" s="1"/>
  <c r="I243" i="1" a="1"/>
  <c r="I243" i="1" s="1"/>
  <c r="I259" i="1" a="1"/>
  <c r="I259" i="1" s="1"/>
  <c r="J267" i="1" a="1"/>
  <c r="J267" i="1" s="1"/>
  <c r="I236" i="1" a="1"/>
  <c r="I236" i="1" s="1"/>
  <c r="I252" i="1" a="1"/>
  <c r="I252" i="1" s="1"/>
  <c r="J288" i="1" a="1"/>
  <c r="J288" i="1" s="1"/>
  <c r="J240" i="1" a="1"/>
  <c r="J240" i="1" s="1"/>
  <c r="J256" i="1" a="1"/>
  <c r="J256" i="1" s="1"/>
  <c r="I282" i="1" a="1"/>
  <c r="I282" i="1" s="1"/>
  <c r="I314" i="1" a="1"/>
  <c r="I314" i="1" s="1"/>
  <c r="I346" i="1" a="1"/>
  <c r="I346" i="1" s="1"/>
  <c r="J274" i="1" a="1"/>
  <c r="J274" i="1" s="1"/>
  <c r="J306" i="1" a="1"/>
  <c r="J306" i="1" s="1"/>
  <c r="J338" i="1" a="1"/>
  <c r="J338" i="1" s="1"/>
  <c r="I284" i="1" a="1"/>
  <c r="I284" i="1" s="1"/>
  <c r="I316" i="1" a="1"/>
  <c r="I316" i="1" s="1"/>
  <c r="J276" i="1" a="1"/>
  <c r="J276" i="1" s="1"/>
  <c r="J308" i="1" a="1"/>
  <c r="J308" i="1" s="1"/>
  <c r="J340" i="1" a="1"/>
  <c r="J340" i="1" s="1"/>
  <c r="J297" i="1" a="1"/>
  <c r="J297" i="1" s="1"/>
  <c r="J329" i="1" a="1"/>
  <c r="J329" i="1" s="1"/>
  <c r="J278" i="1" a="1"/>
  <c r="J278" i="1" s="1"/>
  <c r="J310" i="1" a="1"/>
  <c r="J310" i="1" s="1"/>
  <c r="J342" i="1" a="1"/>
  <c r="J342" i="1" s="1"/>
  <c r="J299" i="1" a="1"/>
  <c r="J299" i="1" s="1"/>
  <c r="J331" i="1" a="1"/>
  <c r="J331" i="1" s="1"/>
  <c r="J393" i="1" a="1"/>
  <c r="J393" i="1" s="1"/>
  <c r="I395" i="1" a="1"/>
  <c r="I395" i="1" s="1"/>
  <c r="J397" i="1" a="1"/>
  <c r="J397" i="1" s="1"/>
  <c r="J357" i="1" a="1"/>
  <c r="J357" i="1" s="1"/>
  <c r="I372" i="1" a="1"/>
  <c r="I372" i="1" s="1"/>
  <c r="I376" i="1" a="1"/>
  <c r="I376" i="1" s="1"/>
  <c r="I355" i="1" a="1"/>
  <c r="I355" i="1" s="1"/>
  <c r="J376" i="1" a="1"/>
  <c r="J376" i="1" s="1"/>
  <c r="J379" i="1" a="1"/>
  <c r="J379" i="1" s="1"/>
  <c r="J347" i="1" a="1"/>
  <c r="J347" i="1" s="1"/>
  <c r="J363" i="1" a="1"/>
  <c r="J363" i="1" s="1"/>
  <c r="I388" i="1" a="1"/>
  <c r="I388" i="1" s="1"/>
  <c r="I404" i="1" a="1"/>
  <c r="I404" i="1" s="1"/>
  <c r="I425" i="1" a="1"/>
  <c r="I425" i="1" s="1"/>
  <c r="I427" i="1" a="1"/>
  <c r="I427" i="1" s="1"/>
  <c r="J400" i="1" a="1"/>
  <c r="J400" i="1" s="1"/>
  <c r="I431" i="1" a="1"/>
  <c r="I431" i="1" s="1"/>
  <c r="I473" i="1" a="1"/>
  <c r="I473" i="1" s="1"/>
  <c r="I438" i="1" a="1"/>
  <c r="I438" i="1" s="1"/>
  <c r="I406" i="1" a="1"/>
  <c r="I406" i="1" s="1"/>
  <c r="I439" i="1" a="1"/>
  <c r="I439" i="1" s="1"/>
  <c r="I411" i="1" a="1"/>
  <c r="I411" i="1" s="1"/>
  <c r="J446" i="1" a="1"/>
  <c r="J446" i="1" s="1"/>
  <c r="I403" i="1" a="1"/>
  <c r="I403" i="1" s="1"/>
  <c r="I416" i="1" a="1"/>
  <c r="I416" i="1" s="1"/>
  <c r="J489" i="1" a="1"/>
  <c r="J489" i="1" s="1"/>
  <c r="J470" i="1" a="1"/>
  <c r="J470" i="1" s="1"/>
  <c r="I464" i="1" a="1"/>
  <c r="I464" i="1" s="1"/>
  <c r="J443" i="1" a="1"/>
  <c r="J443" i="1" s="1"/>
  <c r="J464" i="1" a="1"/>
  <c r="J464" i="1" s="1"/>
  <c r="J461" i="1" a="1"/>
  <c r="J461" i="1" s="1"/>
  <c r="J444" i="1" a="1"/>
  <c r="J444" i="1" s="1"/>
  <c r="I463" i="1" a="1"/>
  <c r="I463" i="1" s="1"/>
  <c r="J495" i="1" a="1"/>
  <c r="J495" i="1" s="1"/>
  <c r="I476" i="1" a="1"/>
  <c r="I476" i="1" s="1"/>
  <c r="I501" i="1" a="1"/>
  <c r="I501" i="1" s="1"/>
  <c r="J496" i="1" a="1"/>
  <c r="J496" i="1" s="1"/>
  <c r="I512" i="1" a="1"/>
  <c r="I512" i="1" s="1"/>
  <c r="J511" i="1" a="1"/>
  <c r="J511" i="1" s="1"/>
  <c r="I502" i="1" a="1"/>
  <c r="I502" i="1" s="1"/>
  <c r="J525" i="1" a="1"/>
  <c r="J525" i="1" s="1"/>
  <c r="I516" i="1" a="1"/>
  <c r="I516" i="1" s="1"/>
  <c r="I519" i="1" a="1"/>
  <c r="I519" i="1" s="1"/>
  <c r="J519" i="1" a="1"/>
  <c r="J519" i="1" s="1"/>
  <c r="J524" i="1" a="1"/>
  <c r="J524" i="1" s="1"/>
  <c r="J536" i="1" a="1"/>
  <c r="J536" i="1" s="1"/>
  <c r="G18" i="1" a="1"/>
  <c r="G18" i="1" s="1"/>
  <c r="H55" i="1" a="1"/>
  <c r="H55" i="1" s="1"/>
  <c r="H18" i="1" a="1"/>
  <c r="H18" i="1" s="1"/>
  <c r="G36" i="1" a="1"/>
  <c r="G36" i="1" s="1"/>
  <c r="H60" i="1" a="1"/>
  <c r="H60" i="1" s="1"/>
  <c r="G40" i="1" a="1"/>
  <c r="G40" i="1" s="1"/>
  <c r="G62" i="1" a="1"/>
  <c r="G62" i="1" s="1"/>
  <c r="H23" i="1" a="1"/>
  <c r="H23" i="1" s="1"/>
  <c r="H41" i="1" a="1"/>
  <c r="H41" i="1" s="1"/>
  <c r="G25" i="1" a="1"/>
  <c r="G25" i="1" s="1"/>
  <c r="G56" i="1" a="1"/>
  <c r="G56" i="1" s="1"/>
  <c r="H64" i="1" a="1"/>
  <c r="H64" i="1" s="1"/>
  <c r="H61" i="1" a="1"/>
  <c r="H61" i="1" s="1"/>
  <c r="H33" i="1" a="1"/>
  <c r="H33" i="1" s="1"/>
  <c r="H69" i="1" a="1"/>
  <c r="H69" i="1" s="1"/>
  <c r="H152" i="1" a="1"/>
  <c r="H152" i="1" s="1"/>
  <c r="G97" i="1" a="1"/>
  <c r="G97" i="1" s="1"/>
  <c r="H88" i="1" a="1"/>
  <c r="H88" i="1" s="1"/>
  <c r="H113" i="1" a="1"/>
  <c r="H113" i="1" s="1"/>
  <c r="G84" i="1" a="1"/>
  <c r="G84" i="1" s="1"/>
  <c r="G103" i="1" a="1"/>
  <c r="G103" i="1" s="1"/>
  <c r="H71" i="1" a="1"/>
  <c r="H71" i="1" s="1"/>
  <c r="H102" i="1" a="1"/>
  <c r="H102" i="1" s="1"/>
  <c r="H75" i="1" a="1"/>
  <c r="H75" i="1" s="1"/>
  <c r="H108" i="1" a="1"/>
  <c r="H108" i="1" s="1"/>
  <c r="G78" i="1" a="1"/>
  <c r="G78" i="1" s="1"/>
  <c r="G119" i="1" a="1"/>
  <c r="G119" i="1" s="1"/>
  <c r="G92" i="1" a="1"/>
  <c r="G92" i="1" s="1"/>
  <c r="H120" i="1" a="1"/>
  <c r="H120" i="1" s="1"/>
  <c r="G122" i="1" a="1"/>
  <c r="G122" i="1" s="1"/>
  <c r="H119" i="1" a="1"/>
  <c r="H119" i="1" s="1"/>
  <c r="H190" i="1" a="1"/>
  <c r="H190" i="1" s="1"/>
  <c r="H124" i="1" a="1"/>
  <c r="H124" i="1" s="1"/>
  <c r="H121" i="1" a="1"/>
  <c r="H121" i="1" s="1"/>
  <c r="H111" i="1" a="1"/>
  <c r="H111" i="1" s="1"/>
  <c r="G139" i="1" a="1"/>
  <c r="G139" i="1" s="1"/>
  <c r="G219" i="1" a="1"/>
  <c r="G219" i="1" s="1"/>
  <c r="G144" i="1" a="1"/>
  <c r="G144" i="1" s="1"/>
  <c r="H160" i="1" a="1"/>
  <c r="H160" i="1" s="1"/>
  <c r="G200" i="1" a="1"/>
  <c r="G200" i="1" s="1"/>
  <c r="G232" i="1" a="1"/>
  <c r="G232" i="1" s="1"/>
  <c r="H184" i="1" a="1"/>
  <c r="H184" i="1" s="1"/>
  <c r="H216" i="1" a="1"/>
  <c r="H216" i="1" s="1"/>
  <c r="G248" i="1" a="1"/>
  <c r="G248" i="1" s="1"/>
  <c r="G169" i="1" a="1"/>
  <c r="G169" i="1" s="1"/>
  <c r="H205" i="1" a="1"/>
  <c r="H205" i="1" s="1"/>
  <c r="G267" i="1" a="1"/>
  <c r="G267" i="1" s="1"/>
  <c r="H166" i="1" a="1"/>
  <c r="H166" i="1" s="1"/>
  <c r="H178" i="1" a="1"/>
  <c r="H178" i="1" s="1"/>
  <c r="H210" i="1" a="1"/>
  <c r="H210" i="1" s="1"/>
  <c r="H262" i="1" a="1"/>
  <c r="H262" i="1" s="1"/>
  <c r="H175" i="1" a="1"/>
  <c r="H175" i="1" s="1"/>
  <c r="H207" i="1" a="1"/>
  <c r="H207" i="1" s="1"/>
  <c r="H155" i="1" a="1"/>
  <c r="H155" i="1" s="1"/>
  <c r="G185" i="1" a="1"/>
  <c r="G185" i="1" s="1"/>
  <c r="G217" i="1" a="1"/>
  <c r="G217" i="1" s="1"/>
  <c r="H164" i="1" a="1"/>
  <c r="H164" i="1" s="1"/>
  <c r="G206" i="1" a="1"/>
  <c r="G206" i="1" s="1"/>
  <c r="H259" i="1" a="1"/>
  <c r="H259" i="1" s="1"/>
  <c r="H338" i="1" a="1"/>
  <c r="H338" i="1" s="1"/>
  <c r="H240" i="1" a="1"/>
  <c r="H240" i="1" s="1"/>
  <c r="H256" i="1" a="1"/>
  <c r="H256" i="1" s="1"/>
  <c r="G335" i="1" a="1"/>
  <c r="G335" i="1" s="1"/>
  <c r="H237" i="1" a="1"/>
  <c r="H237" i="1" s="1"/>
  <c r="H253" i="1" a="1"/>
  <c r="H253" i="1" s="1"/>
  <c r="H263" i="1" a="1"/>
  <c r="H263" i="1" s="1"/>
  <c r="H246" i="1" a="1"/>
  <c r="H246" i="1" s="1"/>
  <c r="G265" i="1" a="1"/>
  <c r="G265" i="1" s="1"/>
  <c r="H279" i="1" a="1"/>
  <c r="H279" i="1" s="1"/>
  <c r="H311" i="1" a="1"/>
  <c r="H311" i="1" s="1"/>
  <c r="H343" i="1" a="1"/>
  <c r="H343" i="1" s="1"/>
  <c r="G297" i="1" a="1"/>
  <c r="G297" i="1" s="1"/>
  <c r="G329" i="1" a="1"/>
  <c r="G329" i="1" s="1"/>
  <c r="H281" i="1" a="1"/>
  <c r="H281" i="1" s="1"/>
  <c r="H313" i="1" a="1"/>
  <c r="H313" i="1" s="1"/>
  <c r="H345" i="1" a="1"/>
  <c r="H345" i="1" s="1"/>
  <c r="G283" i="1" a="1"/>
  <c r="G283" i="1" s="1"/>
  <c r="G315" i="1" a="1"/>
  <c r="G315" i="1" s="1"/>
  <c r="G347" i="1" a="1"/>
  <c r="G347" i="1" s="1"/>
  <c r="G296" i="1" a="1"/>
  <c r="G296" i="1" s="1"/>
  <c r="G328" i="1" a="1"/>
  <c r="G328" i="1" s="1"/>
  <c r="G363" i="1" a="1"/>
  <c r="G363" i="1" s="1"/>
  <c r="H288" i="1" a="1"/>
  <c r="H288" i="1" s="1"/>
  <c r="H320" i="1" a="1"/>
  <c r="H320" i="1" s="1"/>
  <c r="H369" i="1" a="1"/>
  <c r="H369" i="1" s="1"/>
  <c r="H301" i="1" a="1"/>
  <c r="H301" i="1" s="1"/>
  <c r="H333" i="1" a="1"/>
  <c r="H333" i="1" s="1"/>
  <c r="G373" i="1" a="1"/>
  <c r="G373" i="1" s="1"/>
  <c r="H376" i="1" a="1"/>
  <c r="H376" i="1" s="1"/>
  <c r="G352" i="1" a="1"/>
  <c r="G352" i="1" s="1"/>
  <c r="G368" i="1" a="1"/>
  <c r="G368" i="1" s="1"/>
  <c r="G385" i="1" a="1"/>
  <c r="G385" i="1" s="1"/>
  <c r="G389" i="1" a="1"/>
  <c r="G389" i="1" s="1"/>
  <c r="G361" i="1" a="1"/>
  <c r="G361" i="1" s="1"/>
  <c r="G390" i="1" a="1"/>
  <c r="G390" i="1" s="1"/>
  <c r="H392" i="1" a="1"/>
  <c r="H392" i="1" s="1"/>
  <c r="H353" i="1" a="1"/>
  <c r="H353" i="1" s="1"/>
  <c r="G369" i="1" a="1"/>
  <c r="G369" i="1" s="1"/>
  <c r="G432" i="1" a="1"/>
  <c r="G432" i="1" s="1"/>
  <c r="H430" i="1" a="1"/>
  <c r="H430" i="1" s="1"/>
  <c r="G456" i="1" a="1"/>
  <c r="G456" i="1" s="1"/>
  <c r="H435" i="1" a="1"/>
  <c r="H435" i="1" s="1"/>
  <c r="G403" i="1" a="1"/>
  <c r="G403" i="1" s="1"/>
  <c r="H437" i="1" a="1"/>
  <c r="H437" i="1" s="1"/>
  <c r="G413" i="1" a="1"/>
  <c r="G413" i="1" s="1"/>
  <c r="G400" i="1" a="1"/>
  <c r="G400" i="1" s="1"/>
  <c r="G417" i="1" a="1"/>
  <c r="G417" i="1" s="1"/>
  <c r="H416" i="1" a="1"/>
  <c r="H416" i="1" s="1"/>
  <c r="G445" i="1" a="1"/>
  <c r="G445" i="1" s="1"/>
  <c r="H422" i="1" a="1"/>
  <c r="H422" i="1" s="1"/>
  <c r="H451" i="1" a="1"/>
  <c r="H451" i="1" s="1"/>
  <c r="H448" i="1" a="1"/>
  <c r="H448" i="1" s="1"/>
  <c r="H472" i="1" a="1"/>
  <c r="H472" i="1" s="1"/>
  <c r="H508" i="1" a="1"/>
  <c r="H508" i="1" s="1"/>
  <c r="G482" i="1" a="1"/>
  <c r="G482" i="1" s="1"/>
  <c r="G450" i="1" a="1"/>
  <c r="G450" i="1" s="1"/>
  <c r="G479" i="1" a="1"/>
  <c r="G479" i="1" s="1"/>
  <c r="H463" i="1" a="1"/>
  <c r="H463" i="1" s="1"/>
  <c r="H523" i="1" a="1"/>
  <c r="H523" i="1" s="1"/>
  <c r="H460" i="1" a="1"/>
  <c r="H460" i="1" s="1"/>
  <c r="G512" i="1" a="1"/>
  <c r="G512" i="1" s="1"/>
  <c r="H481" i="1" a="1"/>
  <c r="H481" i="1" s="1"/>
  <c r="G510" i="1" a="1"/>
  <c r="G510" i="1" s="1"/>
  <c r="H514" i="1" a="1"/>
  <c r="H514" i="1" s="1"/>
  <c r="G500" i="1" a="1"/>
  <c r="G500" i="1" s="1"/>
  <c r="H491" i="1" a="1"/>
  <c r="H491" i="1" s="1"/>
  <c r="G521" i="1" a="1"/>
  <c r="G521" i="1" s="1"/>
  <c r="H496" i="1" a="1"/>
  <c r="H496" i="1" s="1"/>
  <c r="G533" i="1" a="1"/>
  <c r="G533" i="1" s="1"/>
  <c r="G529" i="1" a="1"/>
  <c r="G529" i="1" s="1"/>
  <c r="G523" i="1" a="1"/>
  <c r="G523" i="1" s="1"/>
  <c r="G535" i="1" a="1"/>
  <c r="G535" i="1" s="1"/>
  <c r="I23" i="1" a="1"/>
  <c r="I23" i="1" s="1"/>
  <c r="I50" i="1" a="1"/>
  <c r="I50" i="1" s="1"/>
  <c r="I17" i="1" a="1"/>
  <c r="I17" i="1" s="1"/>
  <c r="I33" i="1" a="1"/>
  <c r="I33" i="1" s="1"/>
  <c r="I34" i="1" a="1"/>
  <c r="I34" i="1" s="1"/>
  <c r="I19" i="1" a="1"/>
  <c r="I19" i="1" s="1"/>
  <c r="I30" i="1" a="1"/>
  <c r="I30" i="1" s="1"/>
  <c r="I57" i="1" a="1"/>
  <c r="I57" i="1" s="1"/>
  <c r="I18" i="1" a="1"/>
  <c r="I18" i="1" s="1"/>
  <c r="I40" i="1" a="1"/>
  <c r="I40" i="1" s="1"/>
  <c r="I67" i="1" a="1"/>
  <c r="I67" i="1" s="1"/>
  <c r="J46" i="1" a="1"/>
  <c r="J46" i="1" s="1"/>
  <c r="J42" i="1" a="1"/>
  <c r="J42" i="1" s="1"/>
  <c r="I12" i="1" a="1"/>
  <c r="I12" i="1" s="1"/>
  <c r="J48" i="1" a="1"/>
  <c r="J48" i="1" s="1"/>
  <c r="I72" i="1" a="1"/>
  <c r="I72" i="1" s="1"/>
  <c r="J109" i="1" a="1"/>
  <c r="J109" i="1" s="1"/>
  <c r="I94" i="1" a="1"/>
  <c r="I94" i="1" s="1"/>
  <c r="I83" i="1" a="1"/>
  <c r="I83" i="1" s="1"/>
  <c r="I90" i="1" a="1"/>
  <c r="I90" i="1" s="1"/>
  <c r="I79" i="1" a="1"/>
  <c r="I79" i="1" s="1"/>
  <c r="I112" i="1" a="1"/>
  <c r="I112" i="1" s="1"/>
  <c r="J95" i="1" a="1"/>
  <c r="J95" i="1" s="1"/>
  <c r="J112" i="1" a="1"/>
  <c r="J112" i="1" s="1"/>
  <c r="J86" i="1" a="1"/>
  <c r="J86" i="1" s="1"/>
  <c r="I106" i="1" a="1"/>
  <c r="I106" i="1" s="1"/>
  <c r="J104" i="1" a="1"/>
  <c r="J104" i="1" s="1"/>
  <c r="I141" i="1" a="1"/>
  <c r="I141" i="1" s="1"/>
  <c r="J134" i="1" a="1"/>
  <c r="J134" i="1" s="1"/>
  <c r="J220" i="1" a="1"/>
  <c r="J220" i="1" s="1"/>
  <c r="I144" i="1" a="1"/>
  <c r="I144" i="1" s="1"/>
  <c r="I146" i="1" a="1"/>
  <c r="I146" i="1" s="1"/>
  <c r="J116" i="1" a="1"/>
  <c r="J116" i="1" s="1"/>
  <c r="I143" i="1" a="1"/>
  <c r="I143" i="1" s="1"/>
  <c r="J212" i="1" a="1"/>
  <c r="J212" i="1" s="1"/>
  <c r="J143" i="1" a="1"/>
  <c r="J143" i="1" s="1"/>
  <c r="J124" i="1" a="1"/>
  <c r="J124" i="1" s="1"/>
  <c r="I126" i="1" a="1"/>
  <c r="I126" i="1" s="1"/>
  <c r="J154" i="1" a="1"/>
  <c r="J154" i="1" s="1"/>
  <c r="I182" i="1" a="1"/>
  <c r="I182" i="1" s="1"/>
  <c r="I214" i="1" a="1"/>
  <c r="I214" i="1" s="1"/>
  <c r="I152" i="1" a="1"/>
  <c r="I152" i="1" s="1"/>
  <c r="I187" i="1" a="1"/>
  <c r="I187" i="1" s="1"/>
  <c r="I219" i="1" a="1"/>
  <c r="I219" i="1" s="1"/>
  <c r="J179" i="1" a="1"/>
  <c r="J179" i="1" s="1"/>
  <c r="J211" i="1" a="1"/>
  <c r="J211" i="1" s="1"/>
  <c r="I149" i="1" a="1"/>
  <c r="I149" i="1" s="1"/>
  <c r="I181" i="1" a="1"/>
  <c r="I181" i="1" s="1"/>
  <c r="I213" i="1" a="1"/>
  <c r="I213" i="1" s="1"/>
  <c r="J245" i="1" a="1"/>
  <c r="J245" i="1" s="1"/>
  <c r="J181" i="1" a="1"/>
  <c r="J181" i="1" s="1"/>
  <c r="J213" i="1" a="1"/>
  <c r="J213" i="1" s="1"/>
  <c r="J296" i="1" a="1"/>
  <c r="J296" i="1" s="1"/>
  <c r="I171" i="1" a="1"/>
  <c r="I171" i="1" s="1"/>
  <c r="J202" i="1" a="1"/>
  <c r="J202" i="1" s="1"/>
  <c r="J234" i="1" a="1"/>
  <c r="J234" i="1" s="1"/>
  <c r="J167" i="1" a="1"/>
  <c r="J167" i="1" s="1"/>
  <c r="I180" i="1" a="1"/>
  <c r="I180" i="1" s="1"/>
  <c r="I212" i="1" a="1"/>
  <c r="I212" i="1" s="1"/>
  <c r="I268" i="1" a="1"/>
  <c r="I268" i="1" s="1"/>
  <c r="I270" i="1" a="1"/>
  <c r="I270" i="1" s="1"/>
  <c r="J246" i="1" a="1"/>
  <c r="J246" i="1" s="1"/>
  <c r="J262" i="1" a="1"/>
  <c r="J262" i="1" s="1"/>
  <c r="I277" i="1" a="1"/>
  <c r="I277" i="1" s="1"/>
  <c r="J239" i="1" a="1"/>
  <c r="J239" i="1" s="1"/>
  <c r="J255" i="1" a="1"/>
  <c r="J255" i="1" s="1"/>
  <c r="J304" i="1" a="1"/>
  <c r="J304" i="1" s="1"/>
  <c r="I241" i="1" a="1"/>
  <c r="I241" i="1" s="1"/>
  <c r="I257" i="1" a="1"/>
  <c r="I257" i="1" s="1"/>
  <c r="J285" i="1" a="1"/>
  <c r="J285" i="1" s="1"/>
  <c r="J317" i="1" a="1"/>
  <c r="J317" i="1" s="1"/>
  <c r="I349" i="1" a="1"/>
  <c r="I349" i="1" s="1"/>
  <c r="I279" i="1" a="1"/>
  <c r="I279" i="1" s="1"/>
  <c r="I311" i="1" a="1"/>
  <c r="I311" i="1" s="1"/>
  <c r="I343" i="1" a="1"/>
  <c r="I343" i="1" s="1"/>
  <c r="J287" i="1" a="1"/>
  <c r="J287" i="1" s="1"/>
  <c r="J319" i="1" a="1"/>
  <c r="J319" i="1" s="1"/>
  <c r="I281" i="1" a="1"/>
  <c r="I281" i="1" s="1"/>
  <c r="I313" i="1" a="1"/>
  <c r="I313" i="1" s="1"/>
  <c r="I345" i="1" a="1"/>
  <c r="I345" i="1" s="1"/>
  <c r="I302" i="1" a="1"/>
  <c r="I302" i="1" s="1"/>
  <c r="I334" i="1" a="1"/>
  <c r="I334" i="1" s="1"/>
  <c r="I283" i="1" a="1"/>
  <c r="I283" i="1" s="1"/>
  <c r="I315" i="1" a="1"/>
  <c r="I315" i="1" s="1"/>
  <c r="I365" i="1" a="1"/>
  <c r="I365" i="1" s="1"/>
  <c r="I304" i="1" a="1"/>
  <c r="I304" i="1" s="1"/>
  <c r="I336" i="1" a="1"/>
  <c r="I336" i="1" s="1"/>
  <c r="J387" i="1" a="1"/>
  <c r="J387" i="1" s="1"/>
  <c r="J399" i="1" a="1"/>
  <c r="J399" i="1" s="1"/>
  <c r="J398" i="1" a="1"/>
  <c r="J398" i="1" s="1"/>
  <c r="I358" i="1" a="1"/>
  <c r="I358" i="1" s="1"/>
  <c r="I373" i="1" a="1"/>
  <c r="I373" i="1" s="1"/>
  <c r="I377" i="1" a="1"/>
  <c r="I377" i="1" s="1"/>
  <c r="J358" i="1" a="1"/>
  <c r="J358" i="1" s="1"/>
  <c r="J377" i="1" a="1"/>
  <c r="J377" i="1" s="1"/>
  <c r="J380" i="1" a="1"/>
  <c r="J380" i="1" s="1"/>
  <c r="I348" i="1" a="1"/>
  <c r="I348" i="1" s="1"/>
  <c r="I364" i="1" a="1"/>
  <c r="I364" i="1" s="1"/>
  <c r="I389" i="1" a="1"/>
  <c r="I389" i="1" s="1"/>
  <c r="J407" i="1" a="1"/>
  <c r="J407" i="1" s="1"/>
  <c r="I426" i="1" a="1"/>
  <c r="I426" i="1" s="1"/>
  <c r="I428" i="1" a="1"/>
  <c r="I428" i="1" s="1"/>
  <c r="I401" i="1" a="1"/>
  <c r="I401" i="1" s="1"/>
  <c r="I432" i="1" a="1"/>
  <c r="I432" i="1" s="1"/>
  <c r="J430" i="1" a="1"/>
  <c r="J430" i="1" s="1"/>
  <c r="I446" i="1" a="1"/>
  <c r="I446" i="1" s="1"/>
  <c r="I408" i="1" a="1"/>
  <c r="I408" i="1" s="1"/>
  <c r="I440" i="1" a="1"/>
  <c r="I440" i="1" s="1"/>
  <c r="I412" i="1" a="1"/>
  <c r="I412" i="1" s="1"/>
  <c r="I454" i="1" a="1"/>
  <c r="I454" i="1" s="1"/>
  <c r="J406" i="1" a="1"/>
  <c r="J406" i="1" s="1"/>
  <c r="I417" i="1" a="1"/>
  <c r="I417" i="1" s="1"/>
  <c r="I447" i="1" a="1"/>
  <c r="I447" i="1" s="1"/>
  <c r="I475" i="1" a="1"/>
  <c r="I475" i="1" s="1"/>
  <c r="J467" i="1" a="1"/>
  <c r="J467" i="1" s="1"/>
  <c r="I444" i="1" a="1"/>
  <c r="I444" i="1" s="1"/>
  <c r="I469" i="1" a="1"/>
  <c r="I469" i="1" s="1"/>
  <c r="I466" i="1" a="1"/>
  <c r="I466" i="1" s="1"/>
  <c r="I445" i="1" a="1"/>
  <c r="I445" i="1" s="1"/>
  <c r="J466" i="1" a="1"/>
  <c r="J466" i="1" s="1"/>
  <c r="J499" i="1" a="1"/>
  <c r="J499" i="1" s="1"/>
  <c r="J479" i="1" a="1"/>
  <c r="J479" i="1" s="1"/>
  <c r="J503" i="1" a="1"/>
  <c r="J503" i="1" s="1"/>
  <c r="I497" i="1" a="1"/>
  <c r="I497" i="1" s="1"/>
  <c r="J514" i="1" a="1"/>
  <c r="J514" i="1" s="1"/>
  <c r="I513" i="1" a="1"/>
  <c r="I513" i="1" s="1"/>
  <c r="J512" i="1" a="1"/>
  <c r="J512" i="1" s="1"/>
  <c r="J490" i="1" a="1"/>
  <c r="J490" i="1" s="1"/>
  <c r="I534" i="1" a="1"/>
  <c r="I534" i="1" s="1"/>
  <c r="J521" i="1" a="1"/>
  <c r="J521" i="1" s="1"/>
  <c r="I524" i="1" a="1"/>
  <c r="I524" i="1" s="1"/>
  <c r="J526" i="1" a="1"/>
  <c r="J526" i="1" s="1"/>
  <c r="J527" i="1" a="1"/>
  <c r="J527" i="1" s="1"/>
  <c r="H21" i="1" a="1"/>
  <c r="H21" i="1" s="1"/>
  <c r="G60" i="1" a="1"/>
  <c r="G60" i="1" s="1"/>
  <c r="G19" i="1" a="1"/>
  <c r="G19" i="1" s="1"/>
  <c r="G37" i="1" a="1"/>
  <c r="G37" i="1" s="1"/>
  <c r="G65" i="1" a="1"/>
  <c r="G65" i="1" s="1"/>
  <c r="G41" i="1" a="1"/>
  <c r="G41" i="1" s="1"/>
  <c r="H65" i="1" a="1"/>
  <c r="H65" i="1" s="1"/>
  <c r="G24" i="1" a="1"/>
  <c r="G24" i="1" s="1"/>
  <c r="H42" i="1" a="1"/>
  <c r="H42" i="1" s="1"/>
  <c r="H28" i="1" a="1"/>
  <c r="H28" i="1" s="1"/>
  <c r="H59" i="1" a="1"/>
  <c r="H59" i="1" s="1"/>
  <c r="G13" i="1" a="1"/>
  <c r="G13" i="1" s="1"/>
  <c r="G66" i="1" a="1"/>
  <c r="G66" i="1" s="1"/>
  <c r="G34" i="1" a="1"/>
  <c r="G34" i="1" s="1"/>
  <c r="G70" i="1" a="1"/>
  <c r="G70" i="1" s="1"/>
  <c r="H74" i="1" a="1"/>
  <c r="H74" i="1" s="1"/>
  <c r="G114" i="1" a="1"/>
  <c r="G114" i="1" s="1"/>
  <c r="G93" i="1" a="1"/>
  <c r="G93" i="1" s="1"/>
  <c r="G118" i="1" a="1"/>
  <c r="G118" i="1" s="1"/>
  <c r="H86" i="1" a="1"/>
  <c r="H86" i="1" s="1"/>
  <c r="G104" i="1" a="1"/>
  <c r="G104" i="1" s="1"/>
  <c r="G72" i="1" a="1"/>
  <c r="G72" i="1" s="1"/>
  <c r="H103" i="1" a="1"/>
  <c r="H103" i="1" s="1"/>
  <c r="G80" i="1" a="1"/>
  <c r="G80" i="1" s="1"/>
  <c r="G110" i="1" a="1"/>
  <c r="G110" i="1" s="1"/>
  <c r="H80" i="1" a="1"/>
  <c r="H80" i="1" s="1"/>
  <c r="G135" i="1" a="1"/>
  <c r="G135" i="1" s="1"/>
  <c r="H94" i="1" a="1"/>
  <c r="H94" i="1" s="1"/>
  <c r="G125" i="1" a="1"/>
  <c r="G125" i="1" s="1"/>
  <c r="H125" i="1" a="1"/>
  <c r="H125" i="1" s="1"/>
  <c r="G124" i="1" a="1"/>
  <c r="G124" i="1" s="1"/>
  <c r="H206" i="1" a="1"/>
  <c r="H206" i="1" s="1"/>
  <c r="G129" i="1" a="1"/>
  <c r="G129" i="1" s="1"/>
  <c r="G126" i="1" a="1"/>
  <c r="G126" i="1" s="1"/>
  <c r="G112" i="1" a="1"/>
  <c r="G112" i="1" s="1"/>
  <c r="H142" i="1" a="1"/>
  <c r="H142" i="1" s="1"/>
  <c r="H235" i="1" a="1"/>
  <c r="H235" i="1" s="1"/>
  <c r="H149" i="1" a="1"/>
  <c r="H149" i="1" s="1"/>
  <c r="G165" i="1" a="1"/>
  <c r="G165" i="1" s="1"/>
  <c r="H203" i="1" a="1"/>
  <c r="H203" i="1" s="1"/>
  <c r="G252" i="1" a="1"/>
  <c r="G252" i="1" s="1"/>
  <c r="G189" i="1" a="1"/>
  <c r="G189" i="1" s="1"/>
  <c r="G221" i="1" a="1"/>
  <c r="G221" i="1" s="1"/>
  <c r="G256" i="1" a="1"/>
  <c r="G256" i="1" s="1"/>
  <c r="G178" i="1" a="1"/>
  <c r="G178" i="1" s="1"/>
  <c r="G210" i="1" a="1"/>
  <c r="G210" i="1" s="1"/>
  <c r="G147" i="1" a="1"/>
  <c r="G147" i="1" s="1"/>
  <c r="H167" i="1" a="1"/>
  <c r="H167" i="1" s="1"/>
  <c r="G183" i="1" a="1"/>
  <c r="G183" i="1" s="1"/>
  <c r="G215" i="1" a="1"/>
  <c r="G215" i="1" s="1"/>
  <c r="G157" i="1" a="1"/>
  <c r="G157" i="1" s="1"/>
  <c r="G180" i="1" a="1"/>
  <c r="G180" i="1" s="1"/>
  <c r="G212" i="1" a="1"/>
  <c r="G212" i="1" s="1"/>
  <c r="G156" i="1" a="1"/>
  <c r="G156" i="1" s="1"/>
  <c r="H188" i="1" a="1"/>
  <c r="H188" i="1" s="1"/>
  <c r="H220" i="1" a="1"/>
  <c r="H220" i="1" s="1"/>
  <c r="H177" i="1" a="1"/>
  <c r="H177" i="1" s="1"/>
  <c r="H209" i="1" a="1"/>
  <c r="H209" i="1" s="1"/>
  <c r="G262" i="1" a="1"/>
  <c r="G262" i="1" s="1"/>
  <c r="H372" i="1" a="1"/>
  <c r="H372" i="1" s="1"/>
  <c r="G241" i="1" a="1"/>
  <c r="G241" i="1" s="1"/>
  <c r="G257" i="1" a="1"/>
  <c r="G257" i="1" s="1"/>
  <c r="G266" i="1" a="1"/>
  <c r="G266" i="1" s="1"/>
  <c r="G238" i="1" a="1"/>
  <c r="G238" i="1" s="1"/>
  <c r="G254" i="1" a="1"/>
  <c r="G254" i="1" s="1"/>
  <c r="G268" i="1" a="1"/>
  <c r="G268" i="1" s="1"/>
  <c r="G247" i="1" a="1"/>
  <c r="G247" i="1" s="1"/>
  <c r="H268" i="1" a="1"/>
  <c r="H268" i="1" s="1"/>
  <c r="G284" i="1" a="1"/>
  <c r="G284" i="1" s="1"/>
  <c r="G316" i="1" a="1"/>
  <c r="G316" i="1" s="1"/>
  <c r="G375" i="1" a="1"/>
  <c r="G375" i="1" s="1"/>
  <c r="H300" i="1" a="1"/>
  <c r="H300" i="1" s="1"/>
  <c r="H332" i="1" a="1"/>
  <c r="H332" i="1" s="1"/>
  <c r="G286" i="1" a="1"/>
  <c r="G286" i="1" s="1"/>
  <c r="G318" i="1" a="1"/>
  <c r="G318" i="1" s="1"/>
  <c r="H350" i="1" a="1"/>
  <c r="H350" i="1" s="1"/>
  <c r="H286" i="1" a="1"/>
  <c r="H286" i="1" s="1"/>
  <c r="H318" i="1" a="1"/>
  <c r="H318" i="1" s="1"/>
  <c r="G376" i="1" a="1"/>
  <c r="G376" i="1" s="1"/>
  <c r="H299" i="1" a="1"/>
  <c r="H299" i="1" s="1"/>
  <c r="H331" i="1" a="1"/>
  <c r="H331" i="1" s="1"/>
  <c r="H371" i="1" a="1"/>
  <c r="H371" i="1" s="1"/>
  <c r="G293" i="1" a="1"/>
  <c r="G293" i="1" s="1"/>
  <c r="G325" i="1" a="1"/>
  <c r="G325" i="1" s="1"/>
  <c r="G274" i="1" a="1"/>
  <c r="G274" i="1" s="1"/>
  <c r="G306" i="1" a="1"/>
  <c r="G306" i="1" s="1"/>
  <c r="G338" i="1" a="1"/>
  <c r="G338" i="1" s="1"/>
  <c r="H397" i="1" a="1"/>
  <c r="H397" i="1" s="1"/>
  <c r="G378" i="1" a="1"/>
  <c r="G378" i="1" s="1"/>
  <c r="H355" i="1" a="1"/>
  <c r="H355" i="1" s="1"/>
  <c r="H377" i="1" a="1"/>
  <c r="H377" i="1" s="1"/>
  <c r="H381" i="1" a="1"/>
  <c r="H381" i="1" s="1"/>
  <c r="H348" i="1" a="1"/>
  <c r="H348" i="1" s="1"/>
  <c r="H364" i="1" a="1"/>
  <c r="H364" i="1" s="1"/>
  <c r="G391" i="1" a="1"/>
  <c r="G391" i="1" s="1"/>
  <c r="G394" i="1" a="1"/>
  <c r="G394" i="1" s="1"/>
  <c r="G354" i="1" a="1"/>
  <c r="G354" i="1" s="1"/>
  <c r="H393" i="1" a="1"/>
  <c r="H393" i="1" s="1"/>
  <c r="H459" i="1" a="1"/>
  <c r="H459" i="1" s="1"/>
  <c r="H431" i="1" a="1"/>
  <c r="H431" i="1" s="1"/>
  <c r="G464" i="1" a="1"/>
  <c r="G464" i="1" s="1"/>
  <c r="G437" i="1" a="1"/>
  <c r="G437" i="1" s="1"/>
  <c r="H406" i="1" a="1"/>
  <c r="H406" i="1" s="1"/>
  <c r="H438" i="1" a="1"/>
  <c r="H438" i="1" s="1"/>
  <c r="G414" i="1" a="1"/>
  <c r="G414" i="1" s="1"/>
  <c r="H403" i="1" a="1"/>
  <c r="H403" i="1" s="1"/>
  <c r="G418" i="1" a="1"/>
  <c r="G418" i="1" s="1"/>
  <c r="H417" i="1" a="1"/>
  <c r="H417" i="1" s="1"/>
  <c r="G452" i="1" a="1"/>
  <c r="G452" i="1" s="1"/>
  <c r="H423" i="1" a="1"/>
  <c r="H423" i="1" s="1"/>
  <c r="G459" i="1" a="1"/>
  <c r="G459" i="1" s="1"/>
  <c r="G449" i="1" a="1"/>
  <c r="G449" i="1" s="1"/>
  <c r="G477" i="1" a="1"/>
  <c r="G477" i="1" s="1"/>
  <c r="G511" i="1" a="1"/>
  <c r="G511" i="1" s="1"/>
  <c r="H485" i="1" a="1"/>
  <c r="H485" i="1" s="1"/>
  <c r="H453" i="1" a="1"/>
  <c r="H453" i="1" s="1"/>
  <c r="H482" i="1" a="1"/>
  <c r="H482" i="1" s="1"/>
  <c r="G468" i="1" a="1"/>
  <c r="G468" i="1" s="1"/>
  <c r="H442" i="1" a="1"/>
  <c r="H442" i="1" s="1"/>
  <c r="G465" i="1" a="1"/>
  <c r="G465" i="1" s="1"/>
  <c r="G454" i="1" a="1"/>
  <c r="G454" i="1" s="1"/>
  <c r="G486" i="1" a="1"/>
  <c r="G486" i="1" s="1"/>
  <c r="G514" i="1" a="1"/>
  <c r="G514" i="1" s="1"/>
  <c r="G528" i="1" a="1"/>
  <c r="G528" i="1" s="1"/>
  <c r="H504" i="1" a="1"/>
  <c r="H504" i="1" s="1"/>
  <c r="G492" i="1" a="1"/>
  <c r="G492" i="1" s="1"/>
  <c r="H532" i="1" a="1"/>
  <c r="H532" i="1" s="1"/>
  <c r="G497" i="1" a="1"/>
  <c r="G497" i="1" s="1"/>
  <c r="H535" i="1" a="1"/>
  <c r="H535" i="1" s="1"/>
  <c r="H531" i="1" a="1"/>
  <c r="H531" i="1" s="1"/>
  <c r="G525" i="1" a="1"/>
  <c r="G525" i="1" s="1"/>
  <c r="G537" i="1" a="1"/>
  <c r="G537" i="1" s="1"/>
  <c r="I27" i="1" a="1"/>
  <c r="I27" i="1" s="1"/>
  <c r="J53" i="1" a="1"/>
  <c r="J53" i="1" s="1"/>
  <c r="J20" i="1" a="1"/>
  <c r="J20" i="1" s="1"/>
  <c r="I47" i="1" a="1"/>
  <c r="I47" i="1" s="1"/>
  <c r="I44" i="1" a="1"/>
  <c r="I44" i="1" s="1"/>
  <c r="J22" i="1" a="1"/>
  <c r="J22" i="1" s="1"/>
  <c r="J33" i="1" a="1"/>
  <c r="J33" i="1" s="1"/>
  <c r="J60" i="1" a="1"/>
  <c r="J60" i="1" s="1"/>
  <c r="I22" i="1" a="1"/>
  <c r="I22" i="1" s="1"/>
  <c r="I41" i="1" a="1"/>
  <c r="I41" i="1" s="1"/>
  <c r="J14" i="1" a="1"/>
  <c r="J14" i="1" s="1"/>
  <c r="I51" i="1" a="1"/>
  <c r="I51" i="1" s="1"/>
  <c r="J43" i="1" a="1"/>
  <c r="J43" i="1" s="1"/>
  <c r="J19" i="1" a="1"/>
  <c r="J19" i="1" s="1"/>
  <c r="J75" i="1" a="1"/>
  <c r="J75" i="1" s="1"/>
  <c r="J110" i="1" a="1"/>
  <c r="J110" i="1" s="1"/>
  <c r="I116" i="1" a="1"/>
  <c r="I116" i="1" s="1"/>
  <c r="J87" i="1" a="1"/>
  <c r="J87" i="1" s="1"/>
  <c r="J92" i="1" a="1"/>
  <c r="J92" i="1" s="1"/>
  <c r="J83" i="1" a="1"/>
  <c r="J83" i="1" s="1"/>
  <c r="J128" i="1" a="1"/>
  <c r="J128" i="1" s="1"/>
  <c r="J96" i="1" a="1"/>
  <c r="J96" i="1" s="1"/>
  <c r="J115" i="1" a="1"/>
  <c r="J115" i="1" s="1"/>
  <c r="I91" i="1" a="1"/>
  <c r="I91" i="1" s="1"/>
  <c r="I107" i="1" a="1"/>
  <c r="I107" i="1" s="1"/>
  <c r="J105" i="1" a="1"/>
  <c r="J105" i="1" s="1"/>
  <c r="I111" i="1" a="1"/>
  <c r="I111" i="1" s="1"/>
  <c r="I139" i="1" a="1"/>
  <c r="I139" i="1" s="1"/>
  <c r="J344" i="1" a="1"/>
  <c r="J344" i="1" s="1"/>
  <c r="I155" i="1" a="1"/>
  <c r="I155" i="1" s="1"/>
  <c r="I150" i="1" a="1"/>
  <c r="I150" i="1" s="1"/>
  <c r="I117" i="1" a="1"/>
  <c r="I117" i="1" s="1"/>
  <c r="J146" i="1" a="1"/>
  <c r="J146" i="1" s="1"/>
  <c r="J228" i="1" a="1"/>
  <c r="J228" i="1" s="1"/>
  <c r="J153" i="1" a="1"/>
  <c r="J153" i="1" s="1"/>
  <c r="I129" i="1" a="1"/>
  <c r="I129" i="1" s="1"/>
  <c r="J129" i="1" a="1"/>
  <c r="J129" i="1" s="1"/>
  <c r="I177" i="1" a="1"/>
  <c r="I177" i="1" s="1"/>
  <c r="J185" i="1" a="1"/>
  <c r="J185" i="1" s="1"/>
  <c r="J217" i="1" a="1"/>
  <c r="J217" i="1" s="1"/>
  <c r="J155" i="1" a="1"/>
  <c r="J155" i="1" s="1"/>
  <c r="J190" i="1" a="1"/>
  <c r="J190" i="1" s="1"/>
  <c r="J222" i="1" a="1"/>
  <c r="J222" i="1" s="1"/>
  <c r="I184" i="1" a="1"/>
  <c r="I184" i="1" s="1"/>
  <c r="I216" i="1" a="1"/>
  <c r="I216" i="1" s="1"/>
  <c r="J152" i="1" a="1"/>
  <c r="J152" i="1" s="1"/>
  <c r="J184" i="1" a="1"/>
  <c r="J184" i="1" s="1"/>
  <c r="J216" i="1" a="1"/>
  <c r="J216" i="1" s="1"/>
  <c r="J249" i="1" a="1"/>
  <c r="J249" i="1" s="1"/>
  <c r="I186" i="1" a="1"/>
  <c r="I186" i="1" s="1"/>
  <c r="I218" i="1" a="1"/>
  <c r="I218" i="1" s="1"/>
  <c r="I154" i="1" a="1"/>
  <c r="I154" i="1" s="1"/>
  <c r="I175" i="1" a="1"/>
  <c r="I175" i="1" s="1"/>
  <c r="I207" i="1" a="1"/>
  <c r="I207" i="1" s="1"/>
  <c r="I238" i="1" a="1"/>
  <c r="I238" i="1" s="1"/>
  <c r="J168" i="1" a="1"/>
  <c r="J168" i="1" s="1"/>
  <c r="J183" i="1" a="1"/>
  <c r="J183" i="1" s="1"/>
  <c r="J215" i="1" a="1"/>
  <c r="J215" i="1" s="1"/>
  <c r="J271" i="1" a="1"/>
  <c r="J271" i="1" s="1"/>
  <c r="I272" i="1" a="1"/>
  <c r="I272" i="1" s="1"/>
  <c r="I247" i="1" a="1"/>
  <c r="I247" i="1" s="1"/>
  <c r="I267" i="1" a="1"/>
  <c r="I267" i="1" s="1"/>
  <c r="I293" i="1" a="1"/>
  <c r="I293" i="1" s="1"/>
  <c r="I240" i="1" a="1"/>
  <c r="I240" i="1" s="1"/>
  <c r="I256" i="1" a="1"/>
  <c r="I256" i="1" s="1"/>
  <c r="J320" i="1" a="1"/>
  <c r="J320" i="1" s="1"/>
  <c r="J244" i="1" a="1"/>
  <c r="J244" i="1" s="1"/>
  <c r="J260" i="1" a="1"/>
  <c r="J260" i="1" s="1"/>
  <c r="I290" i="1" a="1"/>
  <c r="I290" i="1" s="1"/>
  <c r="I322" i="1" a="1"/>
  <c r="I322" i="1" s="1"/>
  <c r="I353" i="1" a="1"/>
  <c r="I353" i="1" s="1"/>
  <c r="J282" i="1" a="1"/>
  <c r="J282" i="1" s="1"/>
  <c r="J314" i="1" a="1"/>
  <c r="J314" i="1" s="1"/>
  <c r="J346" i="1" a="1"/>
  <c r="J346" i="1" s="1"/>
  <c r="I292" i="1" a="1"/>
  <c r="I292" i="1" s="1"/>
  <c r="I324" i="1" a="1"/>
  <c r="I324" i="1" s="1"/>
  <c r="J284" i="1" a="1"/>
  <c r="J284" i="1" s="1"/>
  <c r="J316" i="1" a="1"/>
  <c r="J316" i="1" s="1"/>
  <c r="J392" i="1" a="1"/>
  <c r="J392" i="1" s="1"/>
  <c r="J305" i="1" a="1"/>
  <c r="J305" i="1" s="1"/>
  <c r="J337" i="1" a="1"/>
  <c r="J337" i="1" s="1"/>
  <c r="J286" i="1" a="1"/>
  <c r="J286" i="1" s="1"/>
  <c r="J318" i="1" a="1"/>
  <c r="J318" i="1" s="1"/>
  <c r="J275" i="1" a="1"/>
  <c r="J275" i="1" s="1"/>
  <c r="J307" i="1" a="1"/>
  <c r="J307" i="1" s="1"/>
  <c r="J339" i="1" a="1"/>
  <c r="J339" i="1" s="1"/>
  <c r="J388" i="1" a="1"/>
  <c r="J388" i="1" s="1"/>
  <c r="I422" i="1" a="1"/>
  <c r="I422" i="1" s="1"/>
  <c r="J414" i="1" a="1"/>
  <c r="J414" i="1" s="1"/>
  <c r="J361" i="1" a="1"/>
  <c r="J361" i="1" s="1"/>
  <c r="I374" i="1" a="1"/>
  <c r="I374" i="1" s="1"/>
  <c r="I378" i="1" a="1"/>
  <c r="I378" i="1" s="1"/>
  <c r="I359" i="1" a="1"/>
  <c r="I359" i="1" s="1"/>
  <c r="J378" i="1" a="1"/>
  <c r="J378" i="1" s="1"/>
  <c r="J381" i="1" a="1"/>
  <c r="J381" i="1" s="1"/>
  <c r="J351" i="1" a="1"/>
  <c r="J351" i="1" s="1"/>
  <c r="J367" i="1" a="1"/>
  <c r="J367" i="1" s="1"/>
  <c r="I390" i="1" a="1"/>
  <c r="I390" i="1" s="1"/>
  <c r="J418" i="1" a="1"/>
  <c r="J418" i="1" s="1"/>
  <c r="I481" i="1" a="1"/>
  <c r="I481" i="1" s="1"/>
  <c r="I429" i="1" a="1"/>
  <c r="I429" i="1" s="1"/>
  <c r="J404" i="1" a="1"/>
  <c r="J404" i="1" s="1"/>
  <c r="I433" i="1" a="1"/>
  <c r="I433" i="1" s="1"/>
  <c r="J431" i="1" a="1"/>
  <c r="J431" i="1" s="1"/>
  <c r="J457" i="1" a="1"/>
  <c r="J457" i="1" s="1"/>
  <c r="I409" i="1" a="1"/>
  <c r="I409" i="1" s="1"/>
  <c r="I441" i="1" a="1"/>
  <c r="I441" i="1" s="1"/>
  <c r="I413" i="1" a="1"/>
  <c r="I413" i="1" s="1"/>
  <c r="I462" i="1" a="1"/>
  <c r="I462" i="1" s="1"/>
  <c r="I407" i="1" a="1"/>
  <c r="I407" i="1" s="1"/>
  <c r="I418" i="1" a="1"/>
  <c r="I418" i="1" s="1"/>
  <c r="J450" i="1" a="1"/>
  <c r="J450" i="1" s="1"/>
  <c r="J478" i="1" a="1"/>
  <c r="J478" i="1" s="1"/>
  <c r="I472" i="1" a="1"/>
  <c r="I472" i="1" s="1"/>
  <c r="J447" i="1" a="1"/>
  <c r="J447" i="1" s="1"/>
  <c r="J472" i="1" a="1"/>
  <c r="J472" i="1" s="1"/>
  <c r="J469" i="1" a="1"/>
  <c r="J469" i="1" s="1"/>
  <c r="J448" i="1" a="1"/>
  <c r="J448" i="1" s="1"/>
  <c r="I471" i="1" a="1"/>
  <c r="I471" i="1" s="1"/>
  <c r="J505" i="1" a="1"/>
  <c r="J505" i="1" s="1"/>
  <c r="I484" i="1" a="1"/>
  <c r="I484" i="1" s="1"/>
  <c r="I506" i="1" a="1"/>
  <c r="I506" i="1" s="1"/>
  <c r="J501" i="1" a="1"/>
  <c r="J501" i="1" s="1"/>
  <c r="J523" i="1" a="1"/>
  <c r="J523" i="1" s="1"/>
  <c r="J522" i="1" a="1"/>
  <c r="J522" i="1" s="1"/>
  <c r="J518" i="1" a="1"/>
  <c r="J518" i="1" s="1"/>
  <c r="I491" i="1" a="1"/>
  <c r="I491" i="1" s="1"/>
  <c r="I530" i="1" a="1"/>
  <c r="I530" i="1" s="1"/>
  <c r="I526" i="1" a="1"/>
  <c r="I526" i="1" s="1"/>
  <c r="J535" i="1" a="1"/>
  <c r="J535" i="1" s="1"/>
  <c r="I529" i="1" a="1"/>
  <c r="I529" i="1" s="1"/>
  <c r="I532" i="1" a="1"/>
  <c r="I532" i="1" s="1"/>
  <c r="G22" i="1" a="1"/>
  <c r="G22" i="1" s="1"/>
  <c r="H63" i="1" a="1"/>
  <c r="H63" i="1" s="1"/>
  <c r="H22" i="1" a="1"/>
  <c r="H22" i="1" s="1"/>
  <c r="G38" i="1" a="1"/>
  <c r="G38" i="1" s="1"/>
  <c r="H16" i="1" a="1"/>
  <c r="H16" i="1" s="1"/>
  <c r="G42" i="1" a="1"/>
  <c r="G42" i="1" s="1"/>
  <c r="H12" i="1" a="1"/>
  <c r="H12" i="1" s="1"/>
  <c r="H27" i="1" a="1"/>
  <c r="H27" i="1" s="1"/>
  <c r="H46" i="1" a="1"/>
  <c r="H46" i="1" s="1"/>
  <c r="H11" i="1" a="1"/>
  <c r="H11" i="1" s="1"/>
  <c r="G64" i="1" a="1"/>
  <c r="G64" i="1" s="1"/>
  <c r="G21" i="1" a="1"/>
  <c r="G21" i="1" s="1"/>
  <c r="H13" i="1" a="1"/>
  <c r="H13" i="1" s="1"/>
  <c r="G47" i="1" a="1"/>
  <c r="G47" i="1" s="1"/>
  <c r="H73" i="1" a="1"/>
  <c r="H73" i="1" s="1"/>
  <c r="G79" i="1" a="1"/>
  <c r="G79" i="1" s="1"/>
  <c r="G179" i="1" a="1"/>
  <c r="G179" i="1" s="1"/>
  <c r="H95" i="1" a="1"/>
  <c r="H95" i="1" s="1"/>
  <c r="G127" i="1" a="1"/>
  <c r="G127" i="1" s="1"/>
  <c r="G91" i="1" a="1"/>
  <c r="G91" i="1" s="1"/>
  <c r="G105" i="1" a="1"/>
  <c r="G105" i="1" s="1"/>
  <c r="H77" i="1" a="1"/>
  <c r="H77" i="1" s="1"/>
  <c r="H104" i="1" a="1"/>
  <c r="H104" i="1" s="1"/>
  <c r="H82" i="1" a="1"/>
  <c r="H82" i="1" s="1"/>
  <c r="G111" i="1" a="1"/>
  <c r="G111" i="1" s="1"/>
  <c r="G85" i="1" a="1"/>
  <c r="G85" i="1" s="1"/>
  <c r="H162" i="1" a="1"/>
  <c r="H162" i="1" s="1"/>
  <c r="H130" i="1" a="1"/>
  <c r="H130" i="1" s="1"/>
  <c r="H128" i="1" a="1"/>
  <c r="H128" i="1" s="1"/>
  <c r="G130" i="1" a="1"/>
  <c r="G130" i="1" s="1"/>
  <c r="H127" i="1" a="1"/>
  <c r="H127" i="1" s="1"/>
  <c r="H222" i="1" a="1"/>
  <c r="H222" i="1" s="1"/>
  <c r="H132" i="1" a="1"/>
  <c r="H132" i="1" s="1"/>
  <c r="H129" i="1" a="1"/>
  <c r="H129" i="1" s="1"/>
  <c r="H115" i="1" a="1"/>
  <c r="H115" i="1" s="1"/>
  <c r="H147" i="1" a="1"/>
  <c r="H147" i="1" s="1"/>
  <c r="G120" i="1" a="1"/>
  <c r="G120" i="1" s="1"/>
  <c r="G160" i="1" a="1"/>
  <c r="G160" i="1" s="1"/>
  <c r="G176" i="1" a="1"/>
  <c r="G176" i="1" s="1"/>
  <c r="G208" i="1" a="1"/>
  <c r="G208" i="1" s="1"/>
  <c r="H153" i="1" a="1"/>
  <c r="H153" i="1" s="1"/>
  <c r="H192" i="1" a="1"/>
  <c r="H192" i="1" s="1"/>
  <c r="H224" i="1" a="1"/>
  <c r="H224" i="1" s="1"/>
  <c r="G261" i="1" a="1"/>
  <c r="G261" i="1" s="1"/>
  <c r="H181" i="1" a="1"/>
  <c r="H181" i="1" s="1"/>
  <c r="H213" i="1" a="1"/>
  <c r="H213" i="1" s="1"/>
  <c r="H150" i="1" a="1"/>
  <c r="H150" i="1" s="1"/>
  <c r="H168" i="1" a="1"/>
  <c r="H168" i="1" s="1"/>
  <c r="H186" i="1" a="1"/>
  <c r="H186" i="1" s="1"/>
  <c r="H218" i="1" a="1"/>
  <c r="H218" i="1" s="1"/>
  <c r="H161" i="1" a="1"/>
  <c r="H161" i="1" s="1"/>
  <c r="H183" i="1" a="1"/>
  <c r="H183" i="1" s="1"/>
  <c r="H215" i="1" a="1"/>
  <c r="H215" i="1" s="1"/>
  <c r="H159" i="1" a="1"/>
  <c r="H159" i="1" s="1"/>
  <c r="G193" i="1" a="1"/>
  <c r="G193" i="1" s="1"/>
  <c r="G225" i="1" a="1"/>
  <c r="G225" i="1" s="1"/>
  <c r="G182" i="1" a="1"/>
  <c r="G182" i="1" s="1"/>
  <c r="G214" i="1" a="1"/>
  <c r="G214" i="1" s="1"/>
  <c r="H265" i="1" a="1"/>
  <c r="H265" i="1" s="1"/>
  <c r="H261" i="1" a="1"/>
  <c r="H261" i="1" s="1"/>
  <c r="H244" i="1" a="1"/>
  <c r="H244" i="1" s="1"/>
  <c r="H260" i="1" a="1"/>
  <c r="H260" i="1" s="1"/>
  <c r="H269" i="1" a="1"/>
  <c r="H269" i="1" s="1"/>
  <c r="H241" i="1" a="1"/>
  <c r="H241" i="1" s="1"/>
  <c r="H257" i="1" a="1"/>
  <c r="H257" i="1" s="1"/>
  <c r="H271" i="1" a="1"/>
  <c r="H271" i="1" s="1"/>
  <c r="H250" i="1" a="1"/>
  <c r="H250" i="1" s="1"/>
  <c r="G279" i="1" a="1"/>
  <c r="G279" i="1" s="1"/>
  <c r="H287" i="1" a="1"/>
  <c r="H287" i="1" s="1"/>
  <c r="H319" i="1" a="1"/>
  <c r="H319" i="1" s="1"/>
  <c r="H475" i="1" a="1"/>
  <c r="H475" i="1" s="1"/>
  <c r="G305" i="1" a="1"/>
  <c r="G305" i="1" s="1"/>
  <c r="G337" i="1" a="1"/>
  <c r="G337" i="1" s="1"/>
  <c r="H289" i="1" a="1"/>
  <c r="H289" i="1" s="1"/>
  <c r="H321" i="1" a="1"/>
  <c r="H321" i="1" s="1"/>
  <c r="H354" i="1" a="1"/>
  <c r="H354" i="1" s="1"/>
  <c r="G291" i="1" a="1"/>
  <c r="G291" i="1" s="1"/>
  <c r="G323" i="1" a="1"/>
  <c r="G323" i="1" s="1"/>
  <c r="H425" i="1" a="1"/>
  <c r="H425" i="1" s="1"/>
  <c r="G304" i="1" a="1"/>
  <c r="G304" i="1" s="1"/>
  <c r="G336" i="1" a="1"/>
  <c r="G336" i="1" s="1"/>
  <c r="G374" i="1" a="1"/>
  <c r="G374" i="1" s="1"/>
  <c r="H296" i="1" a="1"/>
  <c r="H296" i="1" s="1"/>
  <c r="H328" i="1" a="1"/>
  <c r="H328" i="1" s="1"/>
  <c r="H277" i="1" a="1"/>
  <c r="H277" i="1" s="1"/>
  <c r="H309" i="1" a="1"/>
  <c r="H309" i="1" s="1"/>
  <c r="H341" i="1" a="1"/>
  <c r="H341" i="1" s="1"/>
  <c r="H398" i="1" a="1"/>
  <c r="H398" i="1" s="1"/>
  <c r="G379" i="1" a="1"/>
  <c r="G379" i="1" s="1"/>
  <c r="G356" i="1" a="1"/>
  <c r="G356" i="1" s="1"/>
  <c r="H378" i="1" a="1"/>
  <c r="H378" i="1" s="1"/>
  <c r="H382" i="1" a="1"/>
  <c r="H382" i="1" s="1"/>
  <c r="G349" i="1" a="1"/>
  <c r="G349" i="1" s="1"/>
  <c r="G365" i="1" a="1"/>
  <c r="G365" i="1" s="1"/>
  <c r="G392" i="1" a="1"/>
  <c r="G392" i="1" s="1"/>
  <c r="G395" i="1" a="1"/>
  <c r="G395" i="1" s="1"/>
  <c r="H357" i="1" a="1"/>
  <c r="H357" i="1" s="1"/>
  <c r="H394" i="1" a="1"/>
  <c r="H394" i="1" s="1"/>
  <c r="H401" i="1" a="1"/>
  <c r="H401" i="1" s="1"/>
  <c r="G433" i="1" a="1"/>
  <c r="G433" i="1" s="1"/>
  <c r="G472" i="1" a="1"/>
  <c r="G472" i="1" s="1"/>
  <c r="G438" i="1" a="1"/>
  <c r="G438" i="1" s="1"/>
  <c r="G407" i="1" a="1"/>
  <c r="G407" i="1" s="1"/>
  <c r="H439" i="1" a="1"/>
  <c r="H439" i="1" s="1"/>
  <c r="G415" i="1" a="1"/>
  <c r="G415" i="1" s="1"/>
  <c r="G404" i="1" a="1"/>
  <c r="G404" i="1" s="1"/>
  <c r="G419" i="1" a="1"/>
  <c r="G419" i="1" s="1"/>
  <c r="H418" i="1" a="1"/>
  <c r="H418" i="1" s="1"/>
  <c r="H400" i="1" a="1"/>
  <c r="H400" i="1" s="1"/>
  <c r="G425" i="1" a="1"/>
  <c r="G425" i="1" s="1"/>
  <c r="G467" i="1" a="1"/>
  <c r="G467" i="1" s="1"/>
  <c r="H452" i="1" a="1"/>
  <c r="H452" i="1" s="1"/>
  <c r="H480" i="1" a="1"/>
  <c r="H480" i="1" s="1"/>
  <c r="G458" i="1" a="1"/>
  <c r="G458" i="1" s="1"/>
  <c r="G490" i="1" a="1"/>
  <c r="G490" i="1" s="1"/>
  <c r="G455" i="1" a="1"/>
  <c r="G455" i="1" s="1"/>
  <c r="G487" i="1" a="1"/>
  <c r="G487" i="1" s="1"/>
  <c r="H471" i="1" a="1"/>
  <c r="H471" i="1" s="1"/>
  <c r="G443" i="1" a="1"/>
  <c r="G443" i="1" s="1"/>
  <c r="H468" i="1" a="1"/>
  <c r="H468" i="1" s="1"/>
  <c r="H457" i="1" a="1"/>
  <c r="H457" i="1" s="1"/>
  <c r="H489" i="1" a="1"/>
  <c r="H489" i="1" s="1"/>
  <c r="G524" i="1" a="1"/>
  <c r="G524" i="1" s="1"/>
  <c r="H533" i="1" a="1"/>
  <c r="H533" i="1" s="1"/>
  <c r="G518" i="1" a="1"/>
  <c r="G518" i="1" s="1"/>
  <c r="H495" i="1" a="1"/>
  <c r="H495" i="1" s="1"/>
  <c r="G503" i="1" a="1"/>
  <c r="G503" i="1" s="1"/>
  <c r="G501" i="1" a="1"/>
  <c r="G501" i="1" s="1"/>
  <c r="G515" i="1" a="1"/>
  <c r="G515" i="1" s="1"/>
  <c r="G536" i="1" a="1"/>
  <c r="G536" i="1" s="1"/>
  <c r="H527" i="1" a="1"/>
  <c r="H527" i="1" s="1"/>
  <c r="H521" i="1" a="1"/>
  <c r="H521" i="1" s="1"/>
  <c r="I31" i="1" a="1"/>
  <c r="I31" i="1" s="1"/>
  <c r="I58" i="1" a="1"/>
  <c r="I58" i="1" s="1"/>
  <c r="I21" i="1" a="1"/>
  <c r="I21" i="1" s="1"/>
  <c r="J50" i="1" a="1"/>
  <c r="J50" i="1" s="1"/>
  <c r="J47" i="1" a="1"/>
  <c r="J47" i="1" s="1"/>
  <c r="I9" i="1" a="1"/>
  <c r="I9" i="1" s="1"/>
  <c r="I35" i="1" a="1"/>
  <c r="I35" i="1" s="1"/>
  <c r="I65" i="1" a="1"/>
  <c r="I65" i="1" s="1"/>
  <c r="I26" i="1" a="1"/>
  <c r="I26" i="1" s="1"/>
  <c r="I46" i="1" a="1"/>
  <c r="I46" i="1" s="1"/>
  <c r="J37" i="1" a="1"/>
  <c r="J37" i="1" s="1"/>
  <c r="J54" i="1" a="1"/>
  <c r="J54" i="1" s="1"/>
  <c r="I48" i="1" a="1"/>
  <c r="I48" i="1" s="1"/>
  <c r="I24" i="1" a="1"/>
  <c r="I24" i="1" s="1"/>
  <c r="J56" i="1" a="1"/>
  <c r="J56" i="1" s="1"/>
  <c r="I80" i="1" a="1"/>
  <c r="I80" i="1" s="1"/>
  <c r="J120" i="1" a="1"/>
  <c r="J120" i="1" s="1"/>
  <c r="J68" i="1" a="1"/>
  <c r="J68" i="1" s="1"/>
  <c r="I92" i="1" a="1"/>
  <c r="I92" i="1" s="1"/>
  <c r="I95" i="1" a="1"/>
  <c r="I95" i="1" s="1"/>
  <c r="I88" i="1" a="1"/>
  <c r="I88" i="1" s="1"/>
  <c r="J144" i="1" a="1"/>
  <c r="J144" i="1" s="1"/>
  <c r="J97" i="1" a="1"/>
  <c r="J97" i="1" s="1"/>
  <c r="J171" i="1" a="1"/>
  <c r="J171" i="1" s="1"/>
  <c r="J99" i="1" a="1"/>
  <c r="J99" i="1" s="1"/>
  <c r="J77" i="1" a="1"/>
  <c r="J77" i="1" s="1"/>
  <c r="J106" i="1" a="1"/>
  <c r="J106" i="1" s="1"/>
  <c r="J114" i="1" a="1"/>
  <c r="J114" i="1" s="1"/>
  <c r="J142" i="1" a="1"/>
  <c r="J142" i="1" s="1"/>
  <c r="I120" i="1" a="1"/>
  <c r="I120" i="1" s="1"/>
  <c r="I122" i="1" a="1"/>
  <c r="I122" i="1" s="1"/>
  <c r="J174" i="1" a="1"/>
  <c r="J174" i="1" s="1"/>
  <c r="I119" i="1" a="1"/>
  <c r="I119" i="1" s="1"/>
  <c r="I148" i="1" a="1"/>
  <c r="I148" i="1" s="1"/>
  <c r="J119" i="1" a="1"/>
  <c r="J119" i="1" s="1"/>
  <c r="I157" i="1" a="1"/>
  <c r="I157" i="1" s="1"/>
  <c r="J132" i="1" a="1"/>
  <c r="J132" i="1" s="1"/>
  <c r="I134" i="1" a="1"/>
  <c r="I134" i="1" s="1"/>
  <c r="I193" i="1" a="1"/>
  <c r="I193" i="1" s="1"/>
  <c r="I190" i="1" a="1"/>
  <c r="I190" i="1" s="1"/>
  <c r="I222" i="1" a="1"/>
  <c r="I222" i="1" s="1"/>
  <c r="I156" i="1" a="1"/>
  <c r="I156" i="1" s="1"/>
  <c r="I195" i="1" a="1"/>
  <c r="I195" i="1" s="1"/>
  <c r="I227" i="1" a="1"/>
  <c r="I227" i="1" s="1"/>
  <c r="J187" i="1" a="1"/>
  <c r="J187" i="1" s="1"/>
  <c r="J219" i="1" a="1"/>
  <c r="J219" i="1" s="1"/>
  <c r="I153" i="1" a="1"/>
  <c r="I153" i="1" s="1"/>
  <c r="I189" i="1" a="1"/>
  <c r="I189" i="1" s="1"/>
  <c r="I221" i="1" a="1"/>
  <c r="I221" i="1" s="1"/>
  <c r="J280" i="1" a="1"/>
  <c r="J280" i="1" s="1"/>
  <c r="J189" i="1" a="1"/>
  <c r="J189" i="1" s="1"/>
  <c r="J221" i="1" a="1"/>
  <c r="J221" i="1" s="1"/>
  <c r="I161" i="1" a="1"/>
  <c r="I161" i="1" s="1"/>
  <c r="J178" i="1" a="1"/>
  <c r="J178" i="1" s="1"/>
  <c r="J210" i="1" a="1"/>
  <c r="J210" i="1" s="1"/>
  <c r="I242" i="1" a="1"/>
  <c r="I242" i="1" s="1"/>
  <c r="J169" i="1" a="1"/>
  <c r="J169" i="1" s="1"/>
  <c r="I188" i="1" a="1"/>
  <c r="I188" i="1" s="1"/>
  <c r="I220" i="1" a="1"/>
  <c r="I220" i="1" s="1"/>
  <c r="I285" i="1" a="1"/>
  <c r="I285" i="1" s="1"/>
  <c r="J391" i="1" a="1"/>
  <c r="J391" i="1" s="1"/>
  <c r="J250" i="1" a="1"/>
  <c r="J250" i="1" s="1"/>
  <c r="J270" i="1" a="1"/>
  <c r="J270" i="1" s="1"/>
  <c r="I309" i="1" a="1"/>
  <c r="I309" i="1" s="1"/>
  <c r="J243" i="1" a="1"/>
  <c r="J243" i="1" s="1"/>
  <c r="J259" i="1" a="1"/>
  <c r="J259" i="1" s="1"/>
  <c r="J336" i="1" a="1"/>
  <c r="J336" i="1" s="1"/>
  <c r="I245" i="1" a="1"/>
  <c r="I245" i="1" s="1"/>
  <c r="I263" i="1" a="1"/>
  <c r="I263" i="1" s="1"/>
  <c r="J293" i="1" a="1"/>
  <c r="J293" i="1" s="1"/>
  <c r="J325" i="1" a="1"/>
  <c r="J325" i="1" s="1"/>
  <c r="I357" i="1" a="1"/>
  <c r="I357" i="1" s="1"/>
  <c r="I287" i="1" a="1"/>
  <c r="I287" i="1" s="1"/>
  <c r="I319" i="1" a="1"/>
  <c r="I319" i="1" s="1"/>
  <c r="J368" i="1" a="1"/>
  <c r="J368" i="1" s="1"/>
  <c r="J295" i="1" a="1"/>
  <c r="J295" i="1" s="1"/>
  <c r="J327" i="1" a="1"/>
  <c r="J327" i="1" s="1"/>
  <c r="I289" i="1" a="1"/>
  <c r="I289" i="1" s="1"/>
  <c r="I321" i="1" a="1"/>
  <c r="I321" i="1" s="1"/>
  <c r="I278" i="1" a="1"/>
  <c r="I278" i="1" s="1"/>
  <c r="I310" i="1" a="1"/>
  <c r="I310" i="1" s="1"/>
  <c r="I342" i="1" a="1"/>
  <c r="I342" i="1" s="1"/>
  <c r="I291" i="1" a="1"/>
  <c r="I291" i="1" s="1"/>
  <c r="I323" i="1" a="1"/>
  <c r="I323" i="1" s="1"/>
  <c r="I280" i="1" a="1"/>
  <c r="I280" i="1" s="1"/>
  <c r="I312" i="1" a="1"/>
  <c r="I312" i="1" s="1"/>
  <c r="I344" i="1" a="1"/>
  <c r="I344" i="1" s="1"/>
  <c r="J389" i="1" a="1"/>
  <c r="J389" i="1" s="1"/>
  <c r="I369" i="1" a="1"/>
  <c r="I369" i="1" s="1"/>
  <c r="J417" i="1" a="1"/>
  <c r="J417" i="1" s="1"/>
  <c r="I362" i="1" a="1"/>
  <c r="I362" i="1" s="1"/>
  <c r="I375" i="1" a="1"/>
  <c r="I375" i="1" s="1"/>
  <c r="I379" i="1" a="1"/>
  <c r="I379" i="1" s="1"/>
  <c r="J362" i="1" a="1"/>
  <c r="J362" i="1" s="1"/>
  <c r="I380" i="1" a="1"/>
  <c r="I380" i="1" s="1"/>
  <c r="J382" i="1" a="1"/>
  <c r="J382" i="1" s="1"/>
  <c r="I352" i="1" a="1"/>
  <c r="I352" i="1" s="1"/>
  <c r="I368" i="1" a="1"/>
  <c r="I368" i="1" s="1"/>
  <c r="I391" i="1" a="1"/>
  <c r="I391" i="1" s="1"/>
  <c r="J419" i="1" a="1"/>
  <c r="J419" i="1" s="1"/>
  <c r="I492" i="1" a="1"/>
  <c r="I492" i="1" s="1"/>
  <c r="I430" i="1" a="1"/>
  <c r="I430" i="1" s="1"/>
  <c r="I405" i="1" a="1"/>
  <c r="I405" i="1" s="1"/>
  <c r="I434" i="1" a="1"/>
  <c r="I434" i="1" s="1"/>
  <c r="J432" i="1" a="1"/>
  <c r="J432" i="1" s="1"/>
  <c r="J465" i="1" a="1"/>
  <c r="J465" i="1" s="1"/>
  <c r="I410" i="1" a="1"/>
  <c r="I410" i="1" s="1"/>
  <c r="J442" i="1" a="1"/>
  <c r="J442" i="1" s="1"/>
  <c r="I414" i="1" a="1"/>
  <c r="I414" i="1" s="1"/>
  <c r="I470" i="1" a="1"/>
  <c r="I470" i="1" s="1"/>
  <c r="J410" i="1" a="1"/>
  <c r="J410" i="1" s="1"/>
  <c r="J445" i="1" a="1"/>
  <c r="J445" i="1" s="1"/>
  <c r="I451" i="1" a="1"/>
  <c r="I451" i="1" s="1"/>
  <c r="I483" i="1" a="1"/>
  <c r="I483" i="1" s="1"/>
  <c r="J475" i="1" a="1"/>
  <c r="J475" i="1" s="1"/>
  <c r="I448" i="1" a="1"/>
  <c r="I448" i="1" s="1"/>
  <c r="I477" i="1" a="1"/>
  <c r="I477" i="1" s="1"/>
  <c r="I474" i="1" a="1"/>
  <c r="I474" i="1" s="1"/>
  <c r="I449" i="1" a="1"/>
  <c r="I449" i="1" s="1"/>
  <c r="J474" i="1" a="1"/>
  <c r="J474" i="1" s="1"/>
  <c r="J455" i="1" a="1"/>
  <c r="J455" i="1" s="1"/>
  <c r="J487" i="1" a="1"/>
  <c r="J487" i="1" s="1"/>
  <c r="I507" i="1" a="1"/>
  <c r="I507" i="1" s="1"/>
  <c r="J506" i="1" a="1"/>
  <c r="J506" i="1" s="1"/>
  <c r="I528" i="1" a="1"/>
  <c r="I528" i="1" s="1"/>
  <c r="I490" i="1" a="1"/>
  <c r="I490" i="1" s="1"/>
  <c r="I525" i="1" a="1"/>
  <c r="I525" i="1" s="1"/>
  <c r="J494" i="1" a="1"/>
  <c r="J494" i="1" s="1"/>
  <c r="J532" i="1" a="1"/>
  <c r="J532" i="1" s="1"/>
  <c r="J528" i="1" a="1"/>
  <c r="J528" i="1" s="1"/>
  <c r="J513" i="1" a="1"/>
  <c r="J513" i="1" s="1"/>
  <c r="I531" i="1" a="1"/>
  <c r="I531" i="1" s="1"/>
  <c r="G9" i="1" a="1"/>
  <c r="G9" i="1" s="1"/>
  <c r="H34" i="1" a="1"/>
  <c r="H34" i="1" s="1"/>
  <c r="H20" i="1" a="1"/>
  <c r="H20" i="1" s="1"/>
  <c r="G23" i="1" a="1"/>
  <c r="G23" i="1" s="1"/>
  <c r="G39" i="1" a="1"/>
  <c r="G39" i="1" s="1"/>
  <c r="G29" i="1" a="1"/>
  <c r="G29" i="1" s="1"/>
  <c r="G43" i="1" a="1"/>
  <c r="G43" i="1" s="1"/>
  <c r="G17" i="1" a="1"/>
  <c r="G17" i="1" s="1"/>
  <c r="G28" i="1" a="1"/>
  <c r="G28" i="1" s="1"/>
  <c r="G51" i="1" a="1"/>
  <c r="G51" i="1" s="1"/>
  <c r="H15" i="1" a="1"/>
  <c r="H15" i="1" s="1"/>
  <c r="G45" i="1" a="1"/>
  <c r="G45" i="1" s="1"/>
  <c r="G33" i="1" a="1"/>
  <c r="G33" i="1" s="1"/>
  <c r="H17" i="1" a="1"/>
  <c r="H17" i="1" s="1"/>
  <c r="H50" i="1" a="1"/>
  <c r="H50" i="1" s="1"/>
  <c r="H76" i="1" a="1"/>
  <c r="H76" i="1" s="1"/>
  <c r="H83" i="1" a="1"/>
  <c r="H83" i="1" s="1"/>
  <c r="H70" i="1" a="1"/>
  <c r="H70" i="1" s="1"/>
  <c r="H96" i="1" a="1"/>
  <c r="H96" i="1" s="1"/>
  <c r="G143" i="1" a="1"/>
  <c r="G143" i="1" s="1"/>
  <c r="H97" i="1" a="1"/>
  <c r="H97" i="1" s="1"/>
  <c r="H122" i="1" a="1"/>
  <c r="H122" i="1" s="1"/>
  <c r="G82" i="1" a="1"/>
  <c r="G82" i="1" s="1"/>
  <c r="G106" i="1" a="1"/>
  <c r="G106" i="1" s="1"/>
  <c r="G87" i="1" a="1"/>
  <c r="G87" i="1" s="1"/>
  <c r="G150" i="1" a="1"/>
  <c r="G150" i="1" s="1"/>
  <c r="H89" i="1" a="1"/>
  <c r="H89" i="1" s="1"/>
  <c r="G74" i="1" a="1"/>
  <c r="G74" i="1" s="1"/>
  <c r="H146" i="1" a="1"/>
  <c r="H146" i="1" s="1"/>
  <c r="G133" i="1" a="1"/>
  <c r="G133" i="1" s="1"/>
  <c r="H133" i="1" a="1"/>
  <c r="H133" i="1" s="1"/>
  <c r="G132" i="1" a="1"/>
  <c r="G132" i="1" s="1"/>
  <c r="H239" i="1" a="1"/>
  <c r="H239" i="1" s="1"/>
  <c r="G137" i="1" a="1"/>
  <c r="G137" i="1" s="1"/>
  <c r="G134" i="1" a="1"/>
  <c r="G134" i="1" s="1"/>
  <c r="G116" i="1" a="1"/>
  <c r="G116" i="1" s="1"/>
  <c r="G149" i="1" a="1"/>
  <c r="G149" i="1" s="1"/>
  <c r="H123" i="1" a="1"/>
  <c r="H123" i="1" s="1"/>
  <c r="H182" i="1" a="1"/>
  <c r="H182" i="1" s="1"/>
  <c r="H179" i="1" a="1"/>
  <c r="H179" i="1" s="1"/>
  <c r="H211" i="1" a="1"/>
  <c r="H211" i="1" s="1"/>
  <c r="G154" i="1" a="1"/>
  <c r="G154" i="1" s="1"/>
  <c r="G197" i="1" a="1"/>
  <c r="G197" i="1" s="1"/>
  <c r="G229" i="1" a="1"/>
  <c r="G229" i="1" s="1"/>
  <c r="G161" i="1" a="1"/>
  <c r="G161" i="1" s="1"/>
  <c r="G186" i="1" a="1"/>
  <c r="G186" i="1" s="1"/>
  <c r="G218" i="1" a="1"/>
  <c r="G218" i="1" s="1"/>
  <c r="G151" i="1" a="1"/>
  <c r="G151" i="1" s="1"/>
  <c r="G170" i="1" a="1"/>
  <c r="G170" i="1" s="1"/>
  <c r="G191" i="1" a="1"/>
  <c r="G191" i="1" s="1"/>
  <c r="G223" i="1" a="1"/>
  <c r="G223" i="1" s="1"/>
  <c r="H169" i="1" a="1"/>
  <c r="H169" i="1" s="1"/>
  <c r="G188" i="1" a="1"/>
  <c r="G188" i="1" s="1"/>
  <c r="G220" i="1" a="1"/>
  <c r="G220" i="1" s="1"/>
  <c r="G164" i="1" a="1"/>
  <c r="G164" i="1" s="1"/>
  <c r="H196" i="1" a="1"/>
  <c r="H196" i="1" s="1"/>
  <c r="H228" i="1" a="1"/>
  <c r="H228" i="1" s="1"/>
  <c r="H185" i="1" a="1"/>
  <c r="H185" i="1" s="1"/>
  <c r="H217" i="1" a="1"/>
  <c r="H217" i="1" s="1"/>
  <c r="G270" i="1" a="1"/>
  <c r="G270" i="1" s="1"/>
  <c r="G264" i="1" a="1"/>
  <c r="G264" i="1" s="1"/>
  <c r="G245" i="1" a="1"/>
  <c r="G245" i="1" s="1"/>
  <c r="H264" i="1" a="1"/>
  <c r="H264" i="1" s="1"/>
  <c r="H282" i="1" a="1"/>
  <c r="H282" i="1" s="1"/>
  <c r="G242" i="1" a="1"/>
  <c r="G242" i="1" s="1"/>
  <c r="G258" i="1" a="1"/>
  <c r="G258" i="1" s="1"/>
  <c r="G235" i="1" a="1"/>
  <c r="G235" i="1" s="1"/>
  <c r="G251" i="1" a="1"/>
  <c r="G251" i="1" s="1"/>
  <c r="G295" i="1" a="1"/>
  <c r="G295" i="1" s="1"/>
  <c r="G292" i="1" a="1"/>
  <c r="G292" i="1" s="1"/>
  <c r="G324" i="1" a="1"/>
  <c r="G324" i="1" s="1"/>
  <c r="H276" i="1" a="1"/>
  <c r="H276" i="1" s="1"/>
  <c r="H308" i="1" a="1"/>
  <c r="H308" i="1" s="1"/>
  <c r="H340" i="1" a="1"/>
  <c r="H340" i="1" s="1"/>
  <c r="G294" i="1" a="1"/>
  <c r="G294" i="1" s="1"/>
  <c r="G326" i="1" a="1"/>
  <c r="G326" i="1" s="1"/>
  <c r="H358" i="1" a="1"/>
  <c r="H358" i="1" s="1"/>
  <c r="H294" i="1" a="1"/>
  <c r="H294" i="1" s="1"/>
  <c r="H326" i="1" a="1"/>
  <c r="H326" i="1" s="1"/>
  <c r="H275" i="1" a="1"/>
  <c r="H275" i="1" s="1"/>
  <c r="H307" i="1" a="1"/>
  <c r="H307" i="1" s="1"/>
  <c r="H339" i="1" a="1"/>
  <c r="H339" i="1" s="1"/>
  <c r="H272" i="1" a="1"/>
  <c r="H272" i="1" s="1"/>
  <c r="G301" i="1" a="1"/>
  <c r="G301" i="1" s="1"/>
  <c r="G333" i="1" a="1"/>
  <c r="G333" i="1" s="1"/>
  <c r="G282" i="1" a="1"/>
  <c r="G282" i="1" s="1"/>
  <c r="G314" i="1" a="1"/>
  <c r="G314" i="1" s="1"/>
  <c r="G346" i="1" a="1"/>
  <c r="G346" i="1" s="1"/>
  <c r="H427" i="1" a="1"/>
  <c r="H427" i="1" s="1"/>
  <c r="G380" i="1" a="1"/>
  <c r="G380" i="1" s="1"/>
  <c r="H359" i="1" a="1"/>
  <c r="H359" i="1" s="1"/>
  <c r="H379" i="1" a="1"/>
  <c r="H379" i="1" s="1"/>
  <c r="H383" i="1" a="1"/>
  <c r="H383" i="1" s="1"/>
  <c r="H352" i="1" a="1"/>
  <c r="H352" i="1" s="1"/>
  <c r="H368" i="1" a="1"/>
  <c r="H368" i="1" s="1"/>
  <c r="G393" i="1" a="1"/>
  <c r="G393" i="1" s="1"/>
  <c r="G396" i="1" a="1"/>
  <c r="G396" i="1" s="1"/>
  <c r="G358" i="1" a="1"/>
  <c r="G358" i="1" s="1"/>
  <c r="H395" i="1" a="1"/>
  <c r="H395" i="1" s="1"/>
  <c r="G402" i="1" a="1"/>
  <c r="G402" i="1" s="1"/>
  <c r="G434" i="1" a="1"/>
  <c r="G434" i="1" s="1"/>
  <c r="H486" i="1" a="1"/>
  <c r="H486" i="1" s="1"/>
  <c r="G439" i="1" a="1"/>
  <c r="G439" i="1" s="1"/>
  <c r="G409" i="1" a="1"/>
  <c r="G409" i="1" s="1"/>
  <c r="G441" i="1" a="1"/>
  <c r="G441" i="1" s="1"/>
  <c r="G416" i="1" a="1"/>
  <c r="G416" i="1" s="1"/>
  <c r="H407" i="1" a="1"/>
  <c r="H407" i="1" s="1"/>
  <c r="G420" i="1" a="1"/>
  <c r="G420" i="1" s="1"/>
  <c r="H419" i="1" a="1"/>
  <c r="H419" i="1" s="1"/>
  <c r="G401" i="1" a="1"/>
  <c r="G401" i="1" s="1"/>
  <c r="G426" i="1" a="1"/>
  <c r="G426" i="1" s="1"/>
  <c r="G475" i="1" a="1"/>
  <c r="G475" i="1" s="1"/>
  <c r="G453" i="1" a="1"/>
  <c r="G453" i="1" s="1"/>
  <c r="G485" i="1" a="1"/>
  <c r="G485" i="1" s="1"/>
  <c r="H461" i="1" a="1"/>
  <c r="H461" i="1" s="1"/>
  <c r="H506" i="1" a="1"/>
  <c r="H506" i="1" s="1"/>
  <c r="H458" i="1" a="1"/>
  <c r="H458" i="1" s="1"/>
  <c r="H490" i="1" a="1"/>
  <c r="H490" i="1" s="1"/>
  <c r="G476" i="1" a="1"/>
  <c r="G476" i="1" s="1"/>
  <c r="H446" i="1" a="1"/>
  <c r="H446" i="1" s="1"/>
  <c r="G473" i="1" a="1"/>
  <c r="G473" i="1" s="1"/>
  <c r="G462" i="1" a="1"/>
  <c r="G462" i="1" s="1"/>
  <c r="H507" i="1" a="1"/>
  <c r="H507" i="1" s="1"/>
  <c r="G502" i="1" a="1"/>
  <c r="G502" i="1" s="1"/>
  <c r="G491" i="1" a="1"/>
  <c r="G491" i="1" s="1"/>
  <c r="G519" i="1" a="1"/>
  <c r="G519" i="1" s="1"/>
  <c r="G496" i="1" a="1"/>
  <c r="G496" i="1" s="1"/>
  <c r="H505" i="1" a="1"/>
  <c r="H505" i="1" s="1"/>
  <c r="H503" i="1" a="1"/>
  <c r="H503" i="1" s="1"/>
  <c r="H518" i="1" a="1"/>
  <c r="H518" i="1" s="1"/>
  <c r="H529" i="1" a="1"/>
  <c r="H529" i="1" s="1"/>
  <c r="G532" i="1" a="1"/>
  <c r="G532" i="1" s="1"/>
  <c r="G526" i="1" a="1"/>
  <c r="G526" i="1" s="1"/>
  <c r="N6" i="1" a="1"/>
  <c r="N6" i="1" s="1"/>
  <c r="J15" i="1" a="1"/>
  <c r="J15" i="1" s="1"/>
  <c r="J61" i="1" a="1"/>
  <c r="J61" i="1" s="1"/>
  <c r="J24" i="1" a="1"/>
  <c r="J24" i="1" s="1"/>
  <c r="I55" i="1" a="1"/>
  <c r="I55" i="1" s="1"/>
  <c r="I52" i="1" a="1"/>
  <c r="I52" i="1" s="1"/>
  <c r="J9" i="1" a="1"/>
  <c r="J9" i="1" s="1"/>
  <c r="I36" i="1" a="1"/>
  <c r="I36" i="1" s="1"/>
  <c r="I15" i="1" a="1"/>
  <c r="I15" i="1" s="1"/>
  <c r="J34" i="1" a="1"/>
  <c r="J34" i="1" s="1"/>
  <c r="J49" i="1" a="1"/>
  <c r="J49" i="1" s="1"/>
  <c r="J38" i="1" a="1"/>
  <c r="J38" i="1" s="1"/>
  <c r="I59" i="1" a="1"/>
  <c r="I59" i="1" s="1"/>
  <c r="J51" i="1" a="1"/>
  <c r="J51" i="1" s="1"/>
  <c r="J27" i="1" a="1"/>
  <c r="J27" i="1" s="1"/>
  <c r="I61" i="1" a="1"/>
  <c r="I61" i="1" s="1"/>
  <c r="J82" i="1" a="1"/>
  <c r="J82" i="1" s="1"/>
  <c r="J136" i="1" a="1"/>
  <c r="J136" i="1" s="1"/>
  <c r="I69" i="1" a="1"/>
  <c r="I69" i="1" s="1"/>
  <c r="J94" i="1" a="1"/>
  <c r="J94" i="1" s="1"/>
  <c r="I133" i="1" a="1"/>
  <c r="I133" i="1" s="1"/>
  <c r="J90" i="1" a="1"/>
  <c r="J90" i="1" s="1"/>
  <c r="I77" i="1" a="1"/>
  <c r="I77" i="1" s="1"/>
  <c r="J98" i="1" a="1"/>
  <c r="J98" i="1" s="1"/>
  <c r="J70" i="1" a="1"/>
  <c r="J70" i="1" s="1"/>
  <c r="J100" i="1" a="1"/>
  <c r="J100" i="1" s="1"/>
  <c r="I82" i="1" a="1"/>
  <c r="I82" i="1" s="1"/>
  <c r="I108" i="1" a="1"/>
  <c r="I108" i="1" s="1"/>
  <c r="I115" i="1" a="1"/>
  <c r="I115" i="1" s="1"/>
  <c r="J147" i="1" a="1"/>
  <c r="J147" i="1" s="1"/>
  <c r="J123" i="1" a="1"/>
  <c r="J123" i="1" s="1"/>
  <c r="J125" i="1" a="1"/>
  <c r="J125" i="1" s="1"/>
  <c r="I185" i="1" a="1"/>
  <c r="I185" i="1" s="1"/>
  <c r="J122" i="1" a="1"/>
  <c r="J122" i="1" s="1"/>
  <c r="J150" i="1" a="1"/>
  <c r="J150" i="1" s="1"/>
  <c r="I124" i="1" a="1"/>
  <c r="I124" i="1" s="1"/>
  <c r="J113" i="1" a="1"/>
  <c r="J113" i="1" s="1"/>
  <c r="I137" i="1" a="1"/>
  <c r="I137" i="1" s="1"/>
  <c r="J137" i="1" a="1"/>
  <c r="J137" i="1" s="1"/>
  <c r="I209" i="1" a="1"/>
  <c r="I209" i="1" s="1"/>
  <c r="J193" i="1" a="1"/>
  <c r="J193" i="1" s="1"/>
  <c r="J225" i="1" a="1"/>
  <c r="J225" i="1" s="1"/>
  <c r="J157" i="1" a="1"/>
  <c r="J157" i="1" s="1"/>
  <c r="J198" i="1" a="1"/>
  <c r="J198" i="1" s="1"/>
  <c r="J230" i="1" a="1"/>
  <c r="J230" i="1" s="1"/>
  <c r="I192" i="1" a="1"/>
  <c r="I192" i="1" s="1"/>
  <c r="I224" i="1" a="1"/>
  <c r="I224" i="1" s="1"/>
  <c r="J156" i="1" a="1"/>
  <c r="J156" i="1" s="1"/>
  <c r="J192" i="1" a="1"/>
  <c r="J192" i="1" s="1"/>
  <c r="J224" i="1" a="1"/>
  <c r="J224" i="1" s="1"/>
  <c r="J158" i="1" a="1"/>
  <c r="J158" i="1" s="1"/>
  <c r="I194" i="1" a="1"/>
  <c r="I194" i="1" s="1"/>
  <c r="I226" i="1" a="1"/>
  <c r="I226" i="1" s="1"/>
  <c r="J165" i="1" a="1"/>
  <c r="J165" i="1" s="1"/>
  <c r="I183" i="1" a="1"/>
  <c r="I183" i="1" s="1"/>
  <c r="I215" i="1" a="1"/>
  <c r="I215" i="1" s="1"/>
  <c r="I246" i="1" a="1"/>
  <c r="I246" i="1" s="1"/>
  <c r="J170" i="1" a="1"/>
  <c r="J170" i="1" s="1"/>
  <c r="J191" i="1" a="1"/>
  <c r="J191" i="1" s="1"/>
  <c r="J223" i="1" a="1"/>
  <c r="J223" i="1" s="1"/>
  <c r="I301" i="1" a="1"/>
  <c r="I301" i="1" s="1"/>
  <c r="I235" i="1" a="1"/>
  <c r="I235" i="1" s="1"/>
  <c r="I251" i="1" a="1"/>
  <c r="I251" i="1" s="1"/>
  <c r="J272" i="1" a="1"/>
  <c r="J272" i="1" s="1"/>
  <c r="I325" i="1" a="1"/>
  <c r="I325" i="1" s="1"/>
  <c r="I244" i="1" a="1"/>
  <c r="I244" i="1" s="1"/>
  <c r="I260" i="1" a="1"/>
  <c r="I260" i="1" s="1"/>
  <c r="I266" i="1" a="1"/>
  <c r="I266" i="1" s="1"/>
  <c r="J248" i="1" a="1"/>
  <c r="J248" i="1" s="1"/>
  <c r="J266" i="1" a="1"/>
  <c r="J266" i="1" s="1"/>
  <c r="I298" i="1" a="1"/>
  <c r="I298" i="1" s="1"/>
  <c r="I330" i="1" a="1"/>
  <c r="I330" i="1" s="1"/>
  <c r="I361" i="1" a="1"/>
  <c r="I361" i="1" s="1"/>
  <c r="J290" i="1" a="1"/>
  <c r="J290" i="1" s="1"/>
  <c r="J322" i="1" a="1"/>
  <c r="J322" i="1" s="1"/>
  <c r="J394" i="1" a="1"/>
  <c r="J394" i="1" s="1"/>
  <c r="I300" i="1" a="1"/>
  <c r="I300" i="1" s="1"/>
  <c r="I332" i="1" a="1"/>
  <c r="I332" i="1" s="1"/>
  <c r="J292" i="1" a="1"/>
  <c r="J292" i="1" s="1"/>
  <c r="J324" i="1" a="1"/>
  <c r="J324" i="1" s="1"/>
  <c r="J281" i="1" a="1"/>
  <c r="J281" i="1" s="1"/>
  <c r="J313" i="1" a="1"/>
  <c r="J313" i="1" s="1"/>
  <c r="J345" i="1" a="1"/>
  <c r="J345" i="1" s="1"/>
  <c r="J294" i="1" a="1"/>
  <c r="J294" i="1" s="1"/>
  <c r="J326" i="1" a="1"/>
  <c r="J326" i="1" s="1"/>
  <c r="J283" i="1" a="1"/>
  <c r="J283" i="1" s="1"/>
  <c r="J315" i="1" a="1"/>
  <c r="J315" i="1" s="1"/>
  <c r="J348" i="1" a="1"/>
  <c r="J348" i="1" s="1"/>
  <c r="J390" i="1" a="1"/>
  <c r="J390" i="1" s="1"/>
  <c r="I370" i="1" a="1"/>
  <c r="I370" i="1" s="1"/>
  <c r="J349" i="1" a="1"/>
  <c r="J349" i="1" s="1"/>
  <c r="J365" i="1" a="1"/>
  <c r="J365" i="1" s="1"/>
  <c r="J371" i="1" a="1"/>
  <c r="J371" i="1" s="1"/>
  <c r="J415" i="1" a="1"/>
  <c r="J415" i="1" s="1"/>
  <c r="I363" i="1" a="1"/>
  <c r="I363" i="1" s="1"/>
  <c r="I381" i="1" a="1"/>
  <c r="I381" i="1" s="1"/>
  <c r="I384" i="1" a="1"/>
  <c r="I384" i="1" s="1"/>
  <c r="J355" i="1" a="1"/>
  <c r="J355" i="1" s="1"/>
  <c r="J383" i="1" a="1"/>
  <c r="J383" i="1" s="1"/>
  <c r="J416" i="1" a="1"/>
  <c r="J416" i="1" s="1"/>
  <c r="J420" i="1" a="1"/>
  <c r="J420" i="1" s="1"/>
  <c r="J422" i="1" a="1"/>
  <c r="J422" i="1" s="1"/>
  <c r="I450" i="1" a="1"/>
  <c r="I450" i="1" s="1"/>
  <c r="J426" i="1" a="1"/>
  <c r="J426" i="1" s="1"/>
  <c r="I442" i="1" a="1"/>
  <c r="I442" i="1" s="1"/>
  <c r="J433" i="1" a="1"/>
  <c r="J433" i="1" s="1"/>
  <c r="J473" i="1" a="1"/>
  <c r="J473" i="1" s="1"/>
  <c r="J434" i="1" a="1"/>
  <c r="J434" i="1" s="1"/>
  <c r="J449" i="1" a="1"/>
  <c r="J449" i="1" s="1"/>
  <c r="J438" i="1" a="1"/>
  <c r="J438" i="1" s="1"/>
  <c r="J484" i="1" a="1"/>
  <c r="J484" i="1" s="1"/>
  <c r="J411" i="1" a="1"/>
  <c r="J411" i="1" s="1"/>
  <c r="J453" i="1" a="1"/>
  <c r="J453" i="1" s="1"/>
  <c r="J454" i="1" a="1"/>
  <c r="J454" i="1" s="1"/>
  <c r="J486" i="1" a="1"/>
  <c r="J486" i="1" s="1"/>
  <c r="I480" i="1" a="1"/>
  <c r="I480" i="1" s="1"/>
  <c r="J451" i="1" a="1"/>
  <c r="J451" i="1" s="1"/>
  <c r="J480" i="1" a="1"/>
  <c r="J480" i="1" s="1"/>
  <c r="J477" i="1" a="1"/>
  <c r="J477" i="1" s="1"/>
  <c r="J452" i="1" a="1"/>
  <c r="J452" i="1" s="1"/>
  <c r="I479" i="1" a="1"/>
  <c r="I479" i="1" s="1"/>
  <c r="I460" i="1" a="1"/>
  <c r="I460" i="1" s="1"/>
  <c r="J515" i="1" a="1"/>
  <c r="J515" i="1" s="1"/>
  <c r="I508" i="1" a="1"/>
  <c r="I508" i="1" s="1"/>
  <c r="J507" i="1" a="1"/>
  <c r="J507" i="1" s="1"/>
  <c r="I504" i="1" a="1"/>
  <c r="I504" i="1" s="1"/>
  <c r="J493" i="1" a="1"/>
  <c r="J493" i="1" s="1"/>
  <c r="I527" i="1" a="1"/>
  <c r="I527" i="1" s="1"/>
  <c r="I495" i="1" a="1"/>
  <c r="I495" i="1" s="1"/>
  <c r="J534" i="1" a="1"/>
  <c r="J534" i="1" s="1"/>
  <c r="J530" i="1" a="1"/>
  <c r="J530" i="1" s="1"/>
  <c r="I514" i="1" a="1"/>
  <c r="I514" i="1" s="1"/>
  <c r="J533" i="1" a="1"/>
  <c r="J533" i="1" s="1"/>
  <c r="H32" i="1" a="1"/>
  <c r="H32" i="1" s="1"/>
  <c r="G35" i="1" a="1"/>
  <c r="G35" i="1" s="1"/>
  <c r="H24" i="1" a="1"/>
  <c r="H24" i="1" s="1"/>
  <c r="H26" i="1" a="1"/>
  <c r="H26" i="1" s="1"/>
  <c r="H44" i="1" a="1"/>
  <c r="H44" i="1" s="1"/>
  <c r="H35" i="1" a="1"/>
  <c r="H35" i="1" s="1"/>
  <c r="G46" i="1" a="1"/>
  <c r="G46" i="1" s="1"/>
  <c r="G11" i="1" a="1"/>
  <c r="G11" i="1" s="1"/>
  <c r="H31" i="1" a="1"/>
  <c r="H31" i="1" s="1"/>
  <c r="H54" i="1" a="1"/>
  <c r="H54" i="1" s="1"/>
  <c r="H19" i="1" a="1"/>
  <c r="H19" i="1" s="1"/>
  <c r="H48" i="1" a="1"/>
  <c r="H48" i="1" s="1"/>
  <c r="H45" i="1" a="1"/>
  <c r="H45" i="1" s="1"/>
  <c r="H25" i="1" a="1"/>
  <c r="H25" i="1" s="1"/>
  <c r="G55" i="1" a="1"/>
  <c r="G55" i="1" s="1"/>
  <c r="G81" i="1" a="1"/>
  <c r="G81" i="1" s="1"/>
  <c r="G88" i="1" a="1"/>
  <c r="G88" i="1" s="1"/>
  <c r="G71" i="1" a="1"/>
  <c r="G71" i="1" s="1"/>
  <c r="G98" i="1" a="1"/>
  <c r="G98" i="1" s="1"/>
  <c r="G148" i="1" a="1"/>
  <c r="G148" i="1" s="1"/>
  <c r="H98" i="1" a="1"/>
  <c r="H98" i="1" s="1"/>
  <c r="H138" i="1" a="1"/>
  <c r="H138" i="1" s="1"/>
  <c r="H84" i="1" a="1"/>
  <c r="H84" i="1" s="1"/>
  <c r="G107" i="1" a="1"/>
  <c r="G107" i="1" s="1"/>
  <c r="H91" i="1" a="1"/>
  <c r="H91" i="1" s="1"/>
  <c r="H68" i="1" a="1"/>
  <c r="H68" i="1" s="1"/>
  <c r="G94" i="1" a="1"/>
  <c r="G94" i="1" s="1"/>
  <c r="G76" i="1" a="1"/>
  <c r="G76" i="1" s="1"/>
  <c r="H112" i="1" a="1"/>
  <c r="H112" i="1" s="1"/>
  <c r="H136" i="1" a="1"/>
  <c r="H136" i="1" s="1"/>
  <c r="G138" i="1" a="1"/>
  <c r="G138" i="1" s="1"/>
  <c r="H135" i="1" a="1"/>
  <c r="H135" i="1" s="1"/>
  <c r="H114" i="1" a="1"/>
  <c r="H114" i="1" s="1"/>
  <c r="H140" i="1" a="1"/>
  <c r="H140" i="1" s="1"/>
  <c r="H137" i="1" a="1"/>
  <c r="H137" i="1" s="1"/>
  <c r="G123" i="1" a="1"/>
  <c r="G123" i="1" s="1"/>
  <c r="H151" i="1" a="1"/>
  <c r="H151" i="1" s="1"/>
  <c r="G128" i="1" a="1"/>
  <c r="G128" i="1" s="1"/>
  <c r="H198" i="1" a="1"/>
  <c r="H198" i="1" s="1"/>
  <c r="G184" i="1" a="1"/>
  <c r="G184" i="1" s="1"/>
  <c r="G216" i="1" a="1"/>
  <c r="G216" i="1" s="1"/>
  <c r="H158" i="1" a="1"/>
  <c r="H158" i="1" s="1"/>
  <c r="H200" i="1" a="1"/>
  <c r="H200" i="1" s="1"/>
  <c r="H232" i="1" a="1"/>
  <c r="H232" i="1" s="1"/>
  <c r="H165" i="1" a="1"/>
  <c r="H165" i="1" s="1"/>
  <c r="H189" i="1" a="1"/>
  <c r="H189" i="1" s="1"/>
  <c r="H221" i="1" a="1"/>
  <c r="H221" i="1" s="1"/>
  <c r="H154" i="1" a="1"/>
  <c r="H154" i="1" s="1"/>
  <c r="G171" i="1" a="1"/>
  <c r="G171" i="1" s="1"/>
  <c r="H194" i="1" a="1"/>
  <c r="H194" i="1" s="1"/>
  <c r="H226" i="1" a="1"/>
  <c r="H226" i="1" s="1"/>
  <c r="H170" i="1" a="1"/>
  <c r="H170" i="1" s="1"/>
  <c r="H191" i="1" a="1"/>
  <c r="H191" i="1" s="1"/>
  <c r="H223" i="1" a="1"/>
  <c r="H223" i="1" s="1"/>
  <c r="H173" i="1" a="1"/>
  <c r="H173" i="1" s="1"/>
  <c r="G201" i="1" a="1"/>
  <c r="G201" i="1" s="1"/>
  <c r="G233" i="1" a="1"/>
  <c r="G233" i="1" s="1"/>
  <c r="G190" i="1" a="1"/>
  <c r="G190" i="1" s="1"/>
  <c r="G222" i="1" a="1"/>
  <c r="G222" i="1" s="1"/>
  <c r="H274" i="1" a="1"/>
  <c r="H274" i="1" s="1"/>
  <c r="H267" i="1" a="1"/>
  <c r="H267" i="1" s="1"/>
  <c r="H248" i="1" a="1"/>
  <c r="H248" i="1" s="1"/>
  <c r="G269" i="1" a="1"/>
  <c r="G269" i="1" s="1"/>
  <c r="H298" i="1" a="1"/>
  <c r="H298" i="1" s="1"/>
  <c r="H245" i="1" a="1"/>
  <c r="H245" i="1" s="1"/>
  <c r="G263" i="1" a="1"/>
  <c r="G263" i="1" s="1"/>
  <c r="H238" i="1" a="1"/>
  <c r="H238" i="1" s="1"/>
  <c r="H254" i="1" a="1"/>
  <c r="H254" i="1" s="1"/>
  <c r="G311" i="1" a="1"/>
  <c r="G311" i="1" s="1"/>
  <c r="H295" i="1" a="1"/>
  <c r="H295" i="1" s="1"/>
  <c r="H327" i="1" a="1"/>
  <c r="H327" i="1" s="1"/>
  <c r="G281" i="1" a="1"/>
  <c r="G281" i="1" s="1"/>
  <c r="G313" i="1" a="1"/>
  <c r="G313" i="1" s="1"/>
  <c r="G345" i="1" a="1"/>
  <c r="G345" i="1" s="1"/>
  <c r="H297" i="1" a="1"/>
  <c r="H297" i="1" s="1"/>
  <c r="H329" i="1" a="1"/>
  <c r="H329" i="1" s="1"/>
  <c r="H362" i="1" a="1"/>
  <c r="H362" i="1" s="1"/>
  <c r="G299" i="1" a="1"/>
  <c r="G299" i="1" s="1"/>
  <c r="G331" i="1" a="1"/>
  <c r="G331" i="1" s="1"/>
  <c r="G280" i="1" a="1"/>
  <c r="G280" i="1" s="1"/>
  <c r="G312" i="1" a="1"/>
  <c r="G312" i="1" s="1"/>
  <c r="G344" i="1" a="1"/>
  <c r="G344" i="1" s="1"/>
  <c r="G273" i="1" a="1"/>
  <c r="G273" i="1" s="1"/>
  <c r="H304" i="1" a="1"/>
  <c r="H304" i="1" s="1"/>
  <c r="H336" i="1" a="1"/>
  <c r="H336" i="1" s="1"/>
  <c r="H285" i="1" a="1"/>
  <c r="H285" i="1" s="1"/>
  <c r="H317" i="1" a="1"/>
  <c r="H317" i="1" s="1"/>
  <c r="G377" i="1" a="1"/>
  <c r="G377" i="1" s="1"/>
  <c r="H467" i="1" a="1"/>
  <c r="H467" i="1" s="1"/>
  <c r="G381" i="1" a="1"/>
  <c r="G381" i="1" s="1"/>
  <c r="G360" i="1" a="1"/>
  <c r="G360" i="1" s="1"/>
  <c r="H380" i="1" a="1"/>
  <c r="H380" i="1" s="1"/>
  <c r="H384" i="1" a="1"/>
  <c r="H384" i="1" s="1"/>
  <c r="G353" i="1" a="1"/>
  <c r="G353" i="1" s="1"/>
  <c r="H385" i="1" a="1"/>
  <c r="H385" i="1" s="1"/>
  <c r="G431" i="1" a="1"/>
  <c r="G431" i="1" s="1"/>
  <c r="G397" i="1" a="1"/>
  <c r="G397" i="1" s="1"/>
  <c r="H361" i="1" a="1"/>
  <c r="H361" i="1" s="1"/>
  <c r="H396" i="1" a="1"/>
  <c r="H396" i="1" s="1"/>
  <c r="H405" i="1" a="1"/>
  <c r="H405" i="1" s="1"/>
  <c r="G435" i="1" a="1"/>
  <c r="G435" i="1" s="1"/>
  <c r="G408" i="1" a="1"/>
  <c r="G408" i="1" s="1"/>
  <c r="G440" i="1" a="1"/>
  <c r="G440" i="1" s="1"/>
  <c r="G410" i="1" a="1"/>
  <c r="G410" i="1" s="1"/>
  <c r="H408" i="1" a="1"/>
  <c r="H408" i="1" s="1"/>
  <c r="H440" i="1" a="1"/>
  <c r="H440" i="1" s="1"/>
  <c r="H412" i="1" a="1"/>
  <c r="H412" i="1" s="1"/>
  <c r="H454" i="1" a="1"/>
  <c r="H454" i="1" s="1"/>
  <c r="G421" i="1" a="1"/>
  <c r="G421" i="1" s="1"/>
  <c r="H404" i="1" a="1"/>
  <c r="H404" i="1" s="1"/>
  <c r="G427" i="1" a="1"/>
  <c r="G427" i="1" s="1"/>
  <c r="G480" i="1" a="1"/>
  <c r="G480" i="1" s="1"/>
  <c r="H456" i="1" a="1"/>
  <c r="H456" i="1" s="1"/>
  <c r="H488" i="1" a="1"/>
  <c r="H488" i="1" s="1"/>
  <c r="G466" i="1" a="1"/>
  <c r="G466" i="1" s="1"/>
  <c r="G442" i="1" a="1"/>
  <c r="G442" i="1" s="1"/>
  <c r="G463" i="1" a="1"/>
  <c r="G463" i="1" s="1"/>
  <c r="G494" i="1" a="1"/>
  <c r="G494" i="1" s="1"/>
  <c r="H479" i="1" a="1"/>
  <c r="H479" i="1" s="1"/>
  <c r="G447" i="1" a="1"/>
  <c r="G447" i="1" s="1"/>
  <c r="H476" i="1" a="1"/>
  <c r="H476" i="1" s="1"/>
  <c r="H465" i="1" a="1"/>
  <c r="H465" i="1" s="1"/>
  <c r="H501" i="1" a="1"/>
  <c r="H501" i="1" s="1"/>
  <c r="H510" i="1" a="1"/>
  <c r="H510" i="1" s="1"/>
  <c r="H494" i="1" a="1"/>
  <c r="H494" i="1" s="1"/>
  <c r="G522" i="1" a="1"/>
  <c r="G522" i="1" s="1"/>
  <c r="H499" i="1" a="1"/>
  <c r="H499" i="1" s="1"/>
  <c r="H516" i="1" a="1"/>
  <c r="H516" i="1" s="1"/>
  <c r="G506" i="1" a="1"/>
  <c r="G506" i="1" s="1"/>
  <c r="G520" i="1" a="1"/>
  <c r="G520" i="1" s="1"/>
  <c r="H534" i="1" a="1"/>
  <c r="H53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<sst xmlns="http://schemas.openxmlformats.org/spreadsheetml/2006/main" count="246" uniqueCount="140">
  <si>
    <t>Column0</t>
  </si>
  <si>
    <t>Consulter spreadsheet</t>
  </si>
  <si>
    <t xml:space="preserve">START DATE (FORMAT M/DD/YYYY)  (IF NONE TODAY): </t>
  </si>
  <si>
    <t>01/31/2026</t>
  </si>
  <si>
    <t>Please do not use the C2 cell. Thank you.</t>
  </si>
  <si>
    <t>Instead use the loop at the top-right of the window.</t>
  </si>
  <si>
    <t>PRODUIT</t>
  </si>
  <si>
    <t>Month</t>
  </si>
  <si>
    <t>Year to date</t>
  </si>
  <si>
    <t>Year to year</t>
  </si>
  <si>
    <t>N - 1</t>
  </si>
  <si>
    <t>N</t>
  </si>
  <si>
    <t>N-1</t>
  </si>
  <si>
    <t>Quant</t>
  </si>
  <si>
    <t>TO</t>
  </si>
  <si>
    <t>TOTAL</t>
  </si>
  <si>
    <t>ADIAVET</t>
  </si>
  <si>
    <t>ADIALYO</t>
  </si>
  <si>
    <t>formule data : IF(ODOO.FILTER.VALUE("Start Date (M/DD/YYYY)")="",today(),ODOO.FILTER.VALUE("Start Date (M/DD/YYYY)"))</t>
  </si>
  <si>
    <t>PCR</t>
  </si>
  <si>
    <t>ADIAPURE</t>
  </si>
  <si>
    <t>ADIAMAG</t>
  </si>
  <si>
    <t>EXT</t>
  </si>
  <si>
    <t>Total BioMol SA</t>
  </si>
  <si>
    <t>SARS Cov 2</t>
  </si>
  <si>
    <t xml:space="preserve">Total PCR  </t>
  </si>
  <si>
    <t>Moab</t>
  </si>
  <si>
    <t>Elisa</t>
  </si>
  <si>
    <t>PoC</t>
  </si>
  <si>
    <t>Total immuno</t>
  </si>
  <si>
    <t>Total Bio X</t>
  </si>
  <si>
    <t>pivot #</t>
  </si>
  <si>
    <t xml:space="preserve">measure 1 </t>
  </si>
  <si>
    <t>balance</t>
  </si>
  <si>
    <t>Date to begin</t>
  </si>
  <si>
    <t xml:space="preserve">group_by : </t>
  </si>
  <si>
    <t>#product_id</t>
  </si>
  <si>
    <t xml:space="preserve">Date </t>
  </si>
  <si>
    <t>Previous start of fiscal year</t>
  </si>
  <si>
    <t>Taken in this fiscal year</t>
  </si>
  <si>
    <t>[ADPREP-100] ADIAPREP™ 100</t>
  </si>
  <si>
    <t>[#417996] ADIAVET™ MYCO AV REAL TIME</t>
  </si>
  <si>
    <t>[#418020] ADIAVET™ LAW REAL TIME</t>
  </si>
  <si>
    <t xml:space="preserve">[#418021] ADIAVET™ BRACHY REAL TIME </t>
  </si>
  <si>
    <t>[#418022] ADIAVET™ M.HYOP REAL TIME</t>
  </si>
  <si>
    <t>[#418023] ADIAVET™ NEOSPORA REAL TIME</t>
  </si>
  <si>
    <t xml:space="preserve">[#418024] ADIAVET™ CHLAM.A. REAL TIME </t>
  </si>
  <si>
    <t>[#418026] ADIAVET™ LEPTO REAL TIME</t>
  </si>
  <si>
    <t>[#418027] ADIAVET™ TOXO REAL TIME</t>
  </si>
  <si>
    <t xml:space="preserve">[#418028] ADIAVET™ ANA PHA  REAL TIME </t>
  </si>
  <si>
    <t>[ADC04SQ01] Adiacontrol Quantified Extraction Positive Control Paratb Faeces</t>
  </si>
  <si>
    <t>[ADC10S02] Adiacontrol Extraction Positive Control BVDV EAR</t>
  </si>
  <si>
    <t>[ADI016-100] ADIAVET™ MYCO AV FAST TIME</t>
  </si>
  <si>
    <t>[ADI016-500] ADIAVET™ MYCO AV FAST TIME</t>
  </si>
  <si>
    <t>[ADI033-100] ADIAVET™ APP REAL TIME</t>
  </si>
  <si>
    <t xml:space="preserve">[ADI045-100] ADIAVET™ PARATB REAL TIME </t>
  </si>
  <si>
    <t>[ADI072-100] ADIAVET™ PRV REAL TIME</t>
  </si>
  <si>
    <t xml:space="preserve">[ADI105-100] ADIAVET™ BVDV REAL TIME </t>
  </si>
  <si>
    <t xml:space="preserve">[ADI105-500] ADIAVET™ BVDV REAL TIME </t>
  </si>
  <si>
    <t>[ADI106-100] ADIAVET BVDV FAST TIME 100R (historique)</t>
  </si>
  <si>
    <t>[ADI122-100] ADIAVET™ SALMO FAST TIME</t>
  </si>
  <si>
    <t>[ADI143-100] ADIAVET™ COXIELLA REAL TIME</t>
  </si>
  <si>
    <t>[ADI273-100] ADIAVET™ TOXO FAST TIME</t>
  </si>
  <si>
    <t>[ADI282-100] ADIAVET™ SIV REAL TIME</t>
  </si>
  <si>
    <t>[ADI283-100] ADIAVET™ AIV REAL TIME</t>
  </si>
  <si>
    <t xml:space="preserve">[ADI352-100] ADIAVET™ BTV REAL TIME </t>
  </si>
  <si>
    <t xml:space="preserve">[ADI352-500] ADIAVET™ BTV REAL TIME </t>
  </si>
  <si>
    <t>[ADI381-100] ADIAVET™ BTV TYPE 8 REAL TIME</t>
  </si>
  <si>
    <t xml:space="preserve">[ADI381-50] ADIAVET™ BTV TYPE 8 REAL TIME </t>
  </si>
  <si>
    <t xml:space="preserve">[ADI451-100] ADIAVET™ BESNOITIA REAL TIME </t>
  </si>
  <si>
    <t>[ADI471-100] ADIAVET WEST NILE REAL TIME 100R (historique)</t>
  </si>
  <si>
    <t xml:space="preserve">[ADI481-100] ADIAVET™ BoHV-4 REAL TIME </t>
  </si>
  <si>
    <t>[ADI491-100] ADIAVET™ SCHMALLENBERG REAL TIME</t>
  </si>
  <si>
    <t>[ADI501-100] ADIAVET™ CEMO TAYLORELLA REAL TIME</t>
  </si>
  <si>
    <t>[ADI511-100] ADIAVET™ CEMO KLEB/PSEUDO REAL TIME</t>
  </si>
  <si>
    <t xml:space="preserve">[ADI531-100] ADIAVET™ AIV H5-H7 REAL TIME </t>
  </si>
  <si>
    <t xml:space="preserve">[ADI541-50] ADIAVET™ BTV TYPE 4 REAL TIME </t>
  </si>
  <si>
    <t>[ADI551-100] ADIAVET™ ASFV FAST TIME</t>
  </si>
  <si>
    <t>[ADI561-100] ADIAVET™ MS-H DIVA FAST TIME</t>
  </si>
  <si>
    <t>[ADI571-100] ADIAVET™ IHNV REAL TIME</t>
  </si>
  <si>
    <t>[ADI581-100] ADIAVET™ VHSV REAL TIME</t>
  </si>
  <si>
    <t>[ADI611-100] ADIAVET™ CHLAM SPP FAST TIME</t>
  </si>
  <si>
    <t>[ADI711-100] ADIAVET™ BTV TYPE 3 REAL TIME</t>
  </si>
  <si>
    <t>[ADI721-100] ADIAVET™ EHDV REAL TIME</t>
  </si>
  <si>
    <t>[ADI721-500] ADIAVET™ EHDV REAL TIME</t>
  </si>
  <si>
    <t>[ADIADP10E1-400] ADIAPURE™ TLB</t>
  </si>
  <si>
    <t>[ADIADPBIA-480] ADIAPURE™ ALIQUOTED GLASS BEADS</t>
  </si>
  <si>
    <t>[ADIFIL100] ADIAFILTER™</t>
  </si>
  <si>
    <t>[ADIGMBH351-100] ADIAVET™ BTV REAL TIME</t>
  </si>
  <si>
    <t>[ADL02Y1-100] ADIALYO™ LAWSONIA</t>
  </si>
  <si>
    <t>[ADL04Y1-100] ADIALYO™ PARATB</t>
  </si>
  <si>
    <t>[ADL05Y1-100] ADIALYO™ M.HYOP</t>
  </si>
  <si>
    <t>[ADL06Y1-100] ADIALYO™ BRACHY HYO/PILO</t>
  </si>
  <si>
    <t>[ADL13Y1-100] ADIALYO™ EU/NA PRRSV</t>
  </si>
  <si>
    <t>[ADL28Y1-100] ADIALYO™ FLU A</t>
  </si>
  <si>
    <t>[ADL67Y1-100] ADIALYO™ PCV2</t>
  </si>
  <si>
    <t>[ADL73Y1-500] ADIALYO™ BTV/EHDV 500R</t>
  </si>
  <si>
    <t>[BDE K 1511] Témoin positif (historique)</t>
  </si>
  <si>
    <t>[BDE K 151a] Témoin négatif  (historique)</t>
  </si>
  <si>
    <t>[BDE K 4661] Sérum positif Besnoïtia Besnoiti (historique)</t>
  </si>
  <si>
    <t>[BDE K 466a] Sérum négatif Besnoïtia Besnoiti (historique)</t>
  </si>
  <si>
    <t>[BIO 282] Moab a-VHSV IP5B11/protein N (Viral Haemorrhagic Septicaemia)</t>
  </si>
  <si>
    <t>[BIO 285] Moab a-IHNV 136-3/protein N (Infectious Haematopoietic Necrosis)</t>
  </si>
  <si>
    <t>[BIO 290] Moab a-BPI3</t>
  </si>
  <si>
    <t>[BIO 292] Moab a-Adenovirus bovin de type 3 (historique)</t>
  </si>
  <si>
    <t>[BIO 295] Moab a-BVDV</t>
  </si>
  <si>
    <t>[BIO K 004/2] Monoscreen AbELISA BVDV (NS3) (historique)</t>
  </si>
  <si>
    <t>[BIO K 139/2] Monoscreen AbELISA Mannheimia haemolytica</t>
  </si>
  <si>
    <t>[BIO K 151/1] Multiscreen AgELISA Calf digestive</t>
  </si>
  <si>
    <t>[BIO K 192/2] Monoscreen AbELISA Neospora caninum (SRS2)</t>
  </si>
  <si>
    <t>[BIO K 192/5] Monoscreen AbELISA Neospora caninum (SRS2)</t>
  </si>
  <si>
    <t>[BIO K 243/2] Multiscreen AbELISA Bovine respiratory / indirect, double wells</t>
  </si>
  <si>
    <t>[BIO K 315/1] Multiscreen AgELISA Calf digestive</t>
  </si>
  <si>
    <t>[BIO K 315/2] Multiscreen AgELISA Digestif veau (historique)</t>
  </si>
  <si>
    <t>[BIO K 347/2] Multiscreen AgELISA Calf digestive</t>
  </si>
  <si>
    <t>[BIO K 369/2] Multiscreen AbELISA Bovine respiratory / indirect, double wells</t>
  </si>
  <si>
    <t>[BIO K 447/2] Monoscreen AbELISA Ascaris suum</t>
  </si>
  <si>
    <t>[BIO K 466/2] Monoscreen AbELISA Besnoitia besnoiti</t>
  </si>
  <si>
    <t>[NADI003] ADIAMAG™</t>
  </si>
  <si>
    <t>[NADI003-XL] ADIAMAG™ XL</t>
  </si>
  <si>
    <t>[NADI004] ADIAMAG™ LB3 Buffer</t>
  </si>
  <si>
    <t>[NIDC22PL-20] Easy prep BVD</t>
  </si>
  <si>
    <t>quantity</t>
  </si>
  <si>
    <t>Filter</t>
  </si>
  <si>
    <t>Value</t>
  </si>
  <si>
    <t>Partenaire</t>
  </si>
  <si>
    <t>LABOKLIN GMBH &amp; CO.KG, LABOKLIN GMBH &amp; CO.KG, Celina WALL, LABOKLIN GMBH &amp; CO.KG, Tobias MALAN, LABOKLIN GMBH &amp; CO.KG, Katharina KERNER, LABOKLIN GMBH &amp; CO.KG, Michaela GENTIL, LABOKLIN GMBH &amp; CO.KG, Corinna WEBER, Gip Labeo, Gip Labeo, LABEO Franck DUNCOMBE LDA14, Gip Labeo, Fabien MISZCZAK, Gip Labeo, LABEO site de la Manche LDA50, Gip Labeo, Fabienne BENOIT, Gip Labeo, Delphine PERROTTE, Gip Labeo, Magali PETIT, Gip Labeo, LABEO Site de l'Orne LDA61, LABOKLIN GMBH &amp; CO.KG, Nora MÜLLER, Gip Labeo, Labeo Logistique, Gip Labeo, Didier GARDINIER, Gip Labeo, Virginie JOUVIN, Gip Labeo, Marie LE ROY, Gip Labeo, Emmanuelle LOTH, Gip Labeo, Marlène MOREAU, Gip Labeo, 61PSVB - Secteur Biologie Moléculaire LABÉO, Gip Labeo, Maeva CHERIF FEILDEL, Gip Labeo, Delphine TUDAL, Gip Labeo, Nadège DAGUIER, Gip Labeo, Céline LE GLATIN-COULON, Gip Labeo, Alexandra LIMA, Laboklin Polska Sp z o o, Aneta Bieleniewicz-Kamińska, Gip Labeo, LABEO Site de l'Eure LDA27, Gip Labeo, Antoine DURIEUX, Gip Labeo, Franck DENOS, LABOKLIN GMBH &amp; CO.KG, Dominik PFISTER, LABOKLIN GMBH &amp; CO.KG, Frau Teresa GERHARD, Gip Labeo, Corinne LEBRET, LABOKLIN GMBH &amp; CO.KG, Dr. Petra KÜHNLEIN, Gip Labeo, Albertine LEON-SECK, Gip Labeo, Hugo BEVAN, Gip Labeo, David GERMAIN, Gip Labeo, Nadège NICOLLE, Gip Labeo, LO PS Virologie, Gip Labeo, Aurélia GRANDIDIER, Gip Labeo, Michael MARGUERIE, Gip Labeo, Fanny GALLIENNE, Gip Labeo, Béatrice LABONNE, Gip Labeo, Nadege ROUSSEAU, Gip Labeo, Amélie DELAFOSSE, Gip Labeo, Service Immunologie, Gip Labeo, Service Immunologie, Gip Labeo, Aglae LECLUSE, LABOKLIN GMBH &amp; CO.KG, Kerstin KEUNE, Gip Labeo, Flora CARNET, Gip Labeo, Accueil clients, Gip Labeo, Accueil clients, Gip Labeo, Accueil clients, Gip Labeo, Fabienne DEGOUET, Gip Labeo, Dylan LECHAFFETOIS</t>
  </si>
  <si>
    <t>Pays</t>
  </si>
  <si>
    <t>Produit</t>
  </si>
  <si>
    <t>Start Date (08/31/2025)</t>
  </si>
  <si>
    <t>Catégorie mère Studio</t>
  </si>
  <si>
    <t>Catégorie de produit</t>
  </si>
  <si>
    <t>38,984€</t>
  </si>
  <si>
    <t>36,718€</t>
  </si>
  <si>
    <t>183,643€</t>
  </si>
  <si>
    <t>183,034€</t>
  </si>
  <si>
    <t>1,497</t>
  </si>
  <si>
    <t>467,880€</t>
  </si>
  <si>
    <t>1,470</t>
  </si>
  <si>
    <t>455,409€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</si>
</sst>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
    <numFmt numFmtId="166" formatCode="#,##0.00[$€]"/>
  </numFmts>
  <fonts count="4" x14ac:knownFonts="1">
    <font>
      <sz val="10"/>
      <color rgb="FF000000"/>
      <name val="Arial"/>
    </font>
    <font>
      <b/>
      <sz val="10"/>
      <color rgb="FF000000"/>
      <name val="Arial"/>
    </font>
    <font>
      <b/>
      <sz val="10"/>
      <color rgb="FF45818E"/>
      <name val="Arial"/>
    </font>
    <font>
      <b/>
      <i/>
      <sz val="10"/>
      <color rgb="FF000000"/>
      <name val="Arial"/>
    </font>
  </fonts>
  <fills count="4">
    <fill>
      <patternFill patternType="none"/>
    </fill>
    <fill>
      <patternFill patternType="gray125"/>
    </fill>
    <fill>
      <patternFill patternType="solid">
        <fgColor rgb="FFC27BA0"/>
        <bgColor indexed="64"/>
      </patternFill>
    </fill>
    <fill>
      <patternFill patternType="solid">
        <fgColor rgb="FFD5A6BD"/>
        <bgColor indexed="64"/>
      </patternFill>
    </fill>
  </fills>
  <borders count="15">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42">
    <xf numFmtId="0" fontId="0" fillId="0" borderId="0" xfId="0"/>
    <xf numFmtId="0" fontId="1" fillId="0" borderId="1" xfId="0" applyFont="1" applyBorder="1"/>
    <xf numFmtId="0" fontId="2" fillId="2" borderId="2" xfId="0" applyFont="1" applyFill="1" applyBorder="1"/>
    <xf numFmtId="164" fontId="1" fillId="2" borderId="11" xfId="0" applyNumberFormat="1" applyFont="1" applyFill="1" applyBorder="1"/>
    <xf numFmtId="0" fontId="1" fillId="0" borderId="8" xfId="0" applyFont="1" applyBorder="1"/>
    <xf numFmtId="0" fontId="1" fillId="0" borderId="0" xfId="0" applyFont="1"/>
    <xf numFmtId="0" fontId="1" fillId="3" borderId="2" xfId="0" applyFont="1" applyFill="1" applyBorder="1"/>
    <xf numFmtId="164" fontId="1" fillId="3" borderId="11" xfId="0" applyNumberFormat="1" applyFont="1" applyFill="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2" xfId="0" applyFont="1" applyBorder="1"/>
    <xf numFmtId="164" fontId="1" fillId="0" borderId="11" xfId="0" applyNumberFormat="1" applyFont="1" applyBorder="1"/>
    <xf numFmtId="0" fontId="1" fillId="0" borderId="11" xfId="0" applyFont="1" applyBorder="1"/>
    <xf numFmtId="0" fontId="1" fillId="0" borderId="7" xfId="0" applyFont="1" applyBorder="1"/>
    <xf numFmtId="0" fontId="1" fillId="0" borderId="12" xfId="0" applyFont="1" applyBorder="1"/>
    <xf numFmtId="0" fontId="3" fillId="0" borderId="6" xfId="0" applyFont="1" applyBorder="1"/>
    <xf numFmtId="3" fontId="3" fillId="0" borderId="10" xfId="0" applyNumberFormat="1" applyFont="1" applyBorder="1"/>
    <xf numFmtId="165" fontId="3" fillId="0" borderId="3" xfId="0" applyNumberFormat="1" applyFont="1" applyBorder="1"/>
    <xf numFmtId="3" fontId="3" fillId="0" borderId="3" xfId="0" applyNumberFormat="1" applyFont="1" applyBorder="1"/>
    <xf numFmtId="165" fontId="3" fillId="0" borderId="13" xfId="0" applyNumberFormat="1" applyFont="1" applyBorder="1"/>
    <xf numFmtId="0" fontId="0" fillId="0" borderId="8" xfId="0" applyBorder="1"/>
    <xf numFmtId="3" fontId="0" fillId="0" borderId="0" xfId="0" applyNumberFormat="1"/>
    <xf numFmtId="165" fontId="0" fillId="0" borderId="0" xfId="0" applyNumberFormat="1"/>
    <xf numFmtId="165" fontId="0" fillId="0" borderId="1" xfId="0" applyNumberFormat="1" applyBorder="1"/>
    <xf numFmtId="3" fontId="0" fillId="0" borderId="8" xfId="0" applyNumberFormat="1" applyBorder="1"/>
    <xf numFmtId="0" fontId="0" fillId="0" borderId="9" xfId="0" applyBorder="1"/>
    <xf numFmtId="3" fontId="0" fillId="0" borderId="4" xfId="0" applyNumberFormat="1" applyBorder="1"/>
    <xf numFmtId="165" fontId="0" fillId="0" borderId="4" xfId="0" applyNumberFormat="1" applyBorder="1"/>
    <xf numFmtId="165" fontId="0" fillId="0" borderId="14" xfId="0" applyNumberFormat="1" applyBorder="1"/>
    <xf numFmtId="3" fontId="0" fillId="0" borderId="9" xfId="0" applyNumberFormat="1" applyBorder="1"/>
    <xf numFmtId="0" fontId="0" fillId="0" borderId="10" xfId="0" applyBorder="1"/>
    <xf numFmtId="3" fontId="0" fillId="0" borderId="3" xfId="0" applyNumberFormat="1" applyBorder="1"/>
    <xf numFmtId="165" fontId="0" fillId="0" borderId="3" xfId="0" applyNumberFormat="1" applyBorder="1"/>
    <xf numFmtId="165" fontId="0" fillId="0" borderId="13" xfId="0" applyNumberFormat="1" applyBorder="1"/>
    <xf numFmtId="3" fontId="0" fillId="0" borderId="10" xfId="0" applyNumberFormat="1" applyBorder="1"/>
    <xf numFmtId="166" fontId="0" fillId="0" borderId="0" xfId="0" applyNumberFormat="1"/>
    <xf numFmtId="4" fontId="0" fillId="0" borderId="0" xfId="0" applyNumberFormat="1"/>
    <xf numFmtId="0" fontId="1" fillId="0" borderId="2" xfId="0" applyFont="1" applyBorder="1" applyAlignment="1">
      <alignment horizontal="center"/>
    </xf>
    <xf numFmtId="0" fontId="1" fillId="0" borderId="12" xfId="0" applyFont="1" applyBorder="1" applyAlignment="1">
      <alignment horizontal="center"/>
    </xf>
    <xf numFmtId="0" fontId="1" fillId="0" borderId="1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io-x-diagnostics.odoo.com/web?debug=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8"/>
  <sheetViews>
    <sheetView tabSelected="1" workbookViewId="0">
      <pane xSplit="2" topLeftCell="J1" activePane="topRight" state="frozen"/>
      <selection pane="topRight" activeCell="Z1" sqref="O1:Z1048576"/>
    </sheetView>
  </sheetViews>
  <sheetFormatPr baseColWidth="10" defaultColWidth="13.6640625" defaultRowHeight="13.2" x14ac:dyDescent="0.25"/>
  <cols>
    <col min="1" max="1" width="2.6640625" customWidth="1"/>
    <col min="2" max="2" width="69.109375" customWidth="1"/>
    <col min="3" max="3" width="15.5546875" customWidth="1"/>
    <col min="4" max="4" width="16.44140625" customWidth="1"/>
    <col min="5" max="5" width="7.109375" customWidth="1"/>
    <col min="6" max="6" width="14.33203125" customWidth="1"/>
    <col min="7" max="7" width="11.109375" customWidth="1"/>
    <col min="8" max="8" width="10.44140625" customWidth="1"/>
    <col min="9" max="9" width="10.6640625" customWidth="1"/>
    <col min="10" max="10" width="16.109375" customWidth="1"/>
    <col min="11" max="11" width="16.5546875" customWidth="1"/>
    <col min="12" max="12" width="18.44140625" customWidth="1"/>
    <col min="13" max="13" width="17" customWidth="1"/>
    <col min="14" max="14" width="17.88671875" customWidth="1"/>
  </cols>
  <sheetData>
    <row r="1" spans="1:14" x14ac:dyDescent="0.25">
      <c r="A1" s="1" t="s">
        <v>0</v>
      </c>
      <c r="B1" s="2" t="s">
        <v>1</v>
      </c>
      <c r="C1" s="3"/>
      <c r="D1" s="4"/>
      <c r="E1" s="5"/>
      <c r="F1" s="5"/>
      <c r="G1" s="5"/>
      <c r="H1" s="5"/>
      <c r="I1" s="5"/>
      <c r="J1" s="5"/>
      <c r="K1" s="5"/>
      <c r="L1" s="5"/>
      <c r="M1" s="5"/>
      <c r="N1" s="5"/>
    </row>
    <row r="2" spans="1:14" x14ac:dyDescent="0.25">
      <c r="A2" s="1"/>
      <c r="B2" s="6" t="s">
        <v>2</v>
      </c>
      <c r="C2" s="7" t="s">
        <v>3</v>
      </c>
      <c r="D2" s="4" t="s">
        <v>4</v>
      </c>
      <c r="E2" s="5"/>
      <c r="F2" s="5"/>
      <c r="G2" s="5"/>
      <c r="H2" s="5"/>
      <c r="I2" s="5"/>
      <c r="J2" s="5"/>
      <c r="K2" s="5"/>
      <c r="L2" s="5"/>
      <c r="M2" s="5"/>
      <c r="N2" s="5"/>
    </row>
    <row r="3" spans="1:14" x14ac:dyDescent="0.25">
      <c r="A3" s="5"/>
      <c r="B3" s="8"/>
      <c r="C3" s="8"/>
      <c r="D3" s="5" t="s">
        <v>5</v>
      </c>
      <c r="E3" s="5"/>
      <c r="F3" s="5"/>
      <c r="G3" s="5"/>
      <c r="H3" s="5"/>
      <c r="I3" s="5"/>
      <c r="J3" s="5"/>
      <c r="K3" s="5"/>
      <c r="L3" s="5"/>
      <c r="M3" s="5"/>
      <c r="N3" s="5"/>
    </row>
    <row r="4" spans="1:14" x14ac:dyDescent="0.25">
      <c r="A4" s="5"/>
      <c r="B4" s="9"/>
      <c r="C4" s="9"/>
      <c r="D4" s="9"/>
      <c r="E4" s="9"/>
      <c r="F4" s="9"/>
      <c r="G4" s="9"/>
      <c r="H4" s="9"/>
      <c r="I4" s="9"/>
      <c r="J4" s="9"/>
      <c r="K4" s="9"/>
      <c r="L4" s="9"/>
      <c r="M4" s="9"/>
      <c r="N4" s="9"/>
    </row>
    <row r="5" spans="1:14" x14ac:dyDescent="0.25">
      <c r="A5" s="1"/>
      <c r="B5" s="10" t="s">
        <v>6</v>
      </c>
      <c r="C5" s="39" t="s">
        <v>7</v>
      </c>
      <c r="D5" s="40"/>
      <c r="E5" s="40"/>
      <c r="F5" s="41"/>
      <c r="G5" s="39" t="s">
        <v>8</v>
      </c>
      <c r="H5" s="40"/>
      <c r="I5" s="40"/>
      <c r="J5" s="41"/>
      <c r="K5" s="39" t="s">
        <v>9</v>
      </c>
      <c r="L5" s="40"/>
      <c r="M5" s="40"/>
      <c r="N5" s="41"/>
    </row>
    <row r="6" spans="1:14" x14ac:dyDescent="0.25">
      <c r="A6" s="1"/>
      <c r="B6" s="11"/>
      <c r="C6" s="12" t="s">
        <v>10</v>
      </c>
      <c r="D6" s="13" t="e" cm="1">
        <f t="array" aca="1" ref="D6" ca="1">Quantity!O6</f>
        <v>#VALUE!</v>
      </c>
      <c r="E6" s="12" t="s">
        <v>11</v>
      </c>
      <c r="F6" s="14" t="e" cm="1">
        <f t="array" aca="1" ref="F6" ca="1">Quantity!C6</f>
        <v>#VALUE!</v>
      </c>
      <c r="G6" s="12" t="s">
        <v>12</v>
      </c>
      <c r="H6" s="14" t="e" cm="1">
        <f t="array" aca="1" ref="H6" ca="1">"09/"&amp;YEAR(EDATE(Quantity!$C$3,-20))</f>
        <v>#VALUE!</v>
      </c>
      <c r="I6" s="12" t="s">
        <v>11</v>
      </c>
      <c r="J6" s="14" t="e" cm="1">
        <f t="array" aca="1" ref="J6" ca="1">"09/"&amp;YEAR(EDATE(Quantity!$C$3,-8))</f>
        <v>#VALUE!</v>
      </c>
      <c r="K6" s="12" t="s">
        <v>12</v>
      </c>
      <c r="L6" s="14" t="e" cm="1">
        <f t="array" aca="1" ref="L6" ca="1">Quantity!Z6&amp;" -  "&amp;Quantity!O6</f>
        <v>#VALUE!</v>
      </c>
      <c r="M6" s="12" t="s">
        <v>11</v>
      </c>
      <c r="N6" s="14" t="e" cm="1">
        <f t="array" aca="1" ref="N6" ca="1">Quantity!N6&amp;" - "&amp;Quantity!C6</f>
        <v>#VALUE!</v>
      </c>
    </row>
    <row r="7" spans="1:14" x14ac:dyDescent="0.25">
      <c r="A7" s="1"/>
      <c r="B7" s="15"/>
      <c r="C7" s="12" t="s">
        <v>13</v>
      </c>
      <c r="D7" s="16" t="s">
        <v>14</v>
      </c>
      <c r="E7" s="16" t="s">
        <v>13</v>
      </c>
      <c r="F7" s="14" t="s">
        <v>14</v>
      </c>
      <c r="G7" s="12" t="s">
        <v>13</v>
      </c>
      <c r="H7" s="16" t="s">
        <v>14</v>
      </c>
      <c r="I7" s="16" t="s">
        <v>13</v>
      </c>
      <c r="J7" s="14" t="s">
        <v>14</v>
      </c>
      <c r="K7" s="12" t="s">
        <v>13</v>
      </c>
      <c r="L7" s="16" t="s">
        <v>14</v>
      </c>
      <c r="M7" s="16" t="s">
        <v>13</v>
      </c>
      <c r="N7" s="14" t="s">
        <v>14</v>
      </c>
    </row>
    <row r="8" spans="1:14" x14ac:dyDescent="0.25">
      <c r="A8" s="1" t="s">
        <v>0</v>
      </c>
      <c r="B8" s="17" t="s">
        <v>15</v>
      </c>
      <c r="C8" s="18">
        <v>116</v>
      </c>
      <c r="D8" s="19" t="s">
        <v>132</v>
      </c>
      <c r="E8" s="20">
        <v>118</v>
      </c>
      <c r="F8" s="21" t="s">
        <v>133</v>
      </c>
      <c r="G8" s="18">
        <v>594</v>
      </c>
      <c r="H8" s="19" t="s">
        <v>134</v>
      </c>
      <c r="I8" s="20">
        <v>598</v>
      </c>
      <c r="J8" s="21" t="s">
        <v>135</v>
      </c>
      <c r="K8" s="18" t="s">
        <v>136</v>
      </c>
      <c r="L8" s="19" t="s">
        <v>137</v>
      </c>
      <c r="M8" s="20" t="s">
        <v>138</v>
      </c>
      <c r="N8" s="21" t="s">
        <v>139</v>
      </c>
    </row>
    <row r="9" spans="1:14" ht="15.75" customHeight="1" x14ac:dyDescent="0.25">
      <c r="A9" s="1"/>
      <c r="B9" s="22" t="str" cm="1">
        <f t="array" ref="B9">Quantity!B11</f>
        <v>[#417996] ADIAVET™ MYCO AV REAL TIME</v>
      </c>
      <c r="C9" s="23" cm="1">
        <f t="array" ref="C9">Quantity!O11</f>
        <v>0</v>
      </c>
      <c r="D9" s="24" cm="1">
        <f t="array" ref="D9">CA!O11</f>
        <v>0</v>
      </c>
      <c r="E9" s="23" cm="1">
        <f t="array" ref="E9">Quantity!C11</f>
        <v>0</v>
      </c>
      <c r="F9" s="25" cm="1">
        <f t="array" ref="F9">CA!C11</f>
        <v>0</v>
      </c>
      <c r="G9" s="26" cm="1">
        <f t="array" aca="1" ref="G9" ca="1">SUMIFS(Quantity!$C11:$AH11,Quantity!$C$7:$AH$7,H$6,Quantity!$C$8:$AH$8,TRUE)</f>
        <v>0</v>
      </c>
      <c r="H9" s="24" cm="1">
        <f t="array" aca="1" ref="H9" ca="1">SUMIFS(CA!$C11:$AQ11,CA!$C$7:$AQ$7,H$6,CA!$C$8:$AQ$8,TRUE)</f>
        <v>0</v>
      </c>
      <c r="I9" s="23" cm="1">
        <f t="array" aca="1" ref="I9" ca="1">SUMIFS(Quantity!$C11:$AH11,Quantity!$C$7:$AH$7,J$6,Quantity!$C$8:$AH$8,TRUE)</f>
        <v>0</v>
      </c>
      <c r="J9" s="25" cm="1">
        <f t="array" aca="1" ref="J9" ca="1">SUMIFS(CA!$C11:$AQ11,CA!$C$7:$AQ$7,J$6,CA!$C$8:$AQ$8,TRUE)</f>
        <v>0</v>
      </c>
      <c r="K9" s="26" t="str" cm="1">
        <f t="array" ref="K9">IF(SUM(Quantity!O11:Z11)=0,"",SUM(Quantity!O11:Z11))</f>
        <v/>
      </c>
      <c r="L9" s="24" t="str" cm="1">
        <f t="array" ref="L9">IF(SUM(CA!O11:Z11)=0,"",SUM(CA!O11:Z11))</f>
        <v/>
      </c>
      <c r="M9" s="23" t="str" cm="1">
        <f t="array" ref="M9">IF(SUM(Quantity!C11:N11)=0,"",SUM(Quantity!C11:N11))</f>
        <v/>
      </c>
      <c r="N9" s="25" t="str" cm="1">
        <f t="array" ref="N9">IF(SUM(CA!C11:N11)=0,"",SUM(CA!C11:N11))</f>
        <v/>
      </c>
    </row>
    <row r="10" spans="1:14" ht="15.75" customHeight="1" x14ac:dyDescent="0.25">
      <c r="A10" s="1"/>
      <c r="B10" s="22" t="str" cm="1">
        <f t="array" ref="B10">Quantity!B12</f>
        <v>[#418020] ADIAVET™ LAW REAL TIME</v>
      </c>
      <c r="C10" s="23" cm="1">
        <f t="array" ref="C10">Quantity!O12</f>
        <v>0</v>
      </c>
      <c r="D10" s="24" cm="1">
        <f t="array" ref="D10">CA!O12</f>
        <v>0</v>
      </c>
      <c r="E10" s="23" cm="1">
        <f t="array" ref="E10">Quantity!C12</f>
        <v>0</v>
      </c>
      <c r="F10" s="25" cm="1">
        <f t="array" ref="F10">CA!C12</f>
        <v>0</v>
      </c>
      <c r="G10" s="26" cm="1">
        <f t="array" aca="1" ref="G10" ca="1">SUMIFS(Quantity!$C12:$AH12,Quantity!$C$7:$AH$7,H$6,Quantity!$C$8:$AH$8,TRUE)</f>
        <v>0</v>
      </c>
      <c r="H10" s="24" cm="1">
        <f t="array" aca="1" ref="H10" ca="1">SUMIFS(CA!$C12:$AQ12,CA!$C$7:$AQ$7,H$6,CA!$C$8:$AQ$8,TRUE)</f>
        <v>0</v>
      </c>
      <c r="I10" s="23" cm="1">
        <f t="array" aca="1" ref="I10" ca="1">SUMIFS(Quantity!$C12:$AH12,Quantity!$C$7:$AH$7,J$6,Quantity!$C$8:$AH$8,TRUE)</f>
        <v>0</v>
      </c>
      <c r="J10" s="25" cm="1">
        <f t="array" aca="1" ref="J10" ca="1">SUMIFS(CA!$C12:$AQ12,CA!$C$7:$AQ$7,J$6,CA!$C$8:$AQ$8,TRUE)</f>
        <v>0</v>
      </c>
      <c r="K10" s="26" cm="1">
        <f t="array" ref="K10">IF(SUM(Quantity!O12:Z12)=0,"",SUM(Quantity!O12:Z12))</f>
        <v>6</v>
      </c>
      <c r="L10" s="24" cm="1">
        <f t="array" ref="L10">IF(SUM(CA!O12:Z12)=0,"",SUM(CA!O12:Z12))</f>
        <v>6049.8</v>
      </c>
      <c r="M10" s="23" t="str" cm="1">
        <f t="array" ref="M10">IF(SUM(Quantity!C12:N12)=0,"",SUM(Quantity!C12:N12))</f>
        <v/>
      </c>
      <c r="N10" s="25" t="str" cm="1">
        <f t="array" ref="N10">IF(SUM(CA!C12:N12)=0,"",SUM(CA!C12:N12))</f>
        <v/>
      </c>
    </row>
    <row r="11" spans="1:14" ht="15.75" customHeight="1" x14ac:dyDescent="0.25">
      <c r="A11" s="1"/>
      <c r="B11" s="22" t="str" cm="1">
        <f t="array" ref="B11">Quantity!B13</f>
        <v xml:space="preserve">[#418021] ADIAVET™ BRACHY REAL TIME </v>
      </c>
      <c r="C11" s="23" cm="1">
        <f t="array" ref="C11">Quantity!O13</f>
        <v>0</v>
      </c>
      <c r="D11" s="24" cm="1">
        <f t="array" ref="D11">CA!O13</f>
        <v>0</v>
      </c>
      <c r="E11" s="23" cm="1">
        <f t="array" ref="E11">Quantity!C13</f>
        <v>0</v>
      </c>
      <c r="F11" s="25" cm="1">
        <f t="array" ref="F11">CA!C13</f>
        <v>0</v>
      </c>
      <c r="G11" s="26" cm="1">
        <f t="array" aca="1" ref="G11" ca="1">SUMIFS(Quantity!$C13:$AH13,Quantity!$C$7:$AH$7,H$6,Quantity!$C$8:$AH$8,TRUE)</f>
        <v>0</v>
      </c>
      <c r="H11" s="24" cm="1">
        <f t="array" aca="1" ref="H11" ca="1">SUMIFS(CA!$C13:$AQ13,CA!$C$7:$AQ$7,H$6,CA!$C$8:$AQ$8,TRUE)</f>
        <v>0</v>
      </c>
      <c r="I11" s="23" cm="1">
        <f t="array" aca="1" ref="I11" ca="1">SUMIFS(Quantity!$C13:$AH13,Quantity!$C$7:$AH$7,J$6,Quantity!$C$8:$AH$8,TRUE)</f>
        <v>0</v>
      </c>
      <c r="J11" s="25" cm="1">
        <f t="array" aca="1" ref="J11" ca="1">SUMIFS(CA!$C13:$AQ13,CA!$C$7:$AQ$7,J$6,CA!$C$8:$AQ$8,TRUE)</f>
        <v>0</v>
      </c>
      <c r="K11" s="26" cm="1">
        <f t="array" ref="K11">IF(SUM(Quantity!O13:Z13)=0,"",SUM(Quantity!O13:Z13))</f>
        <v>1</v>
      </c>
      <c r="L11" s="24" cm="1">
        <f t="array" ref="L11">IF(SUM(CA!O13:Z13)=0,"",SUM(CA!O13:Z13))</f>
        <v>983.7</v>
      </c>
      <c r="M11" s="23" cm="1">
        <f t="array" ref="M11">IF(SUM(Quantity!C13:N13)=0,"",SUM(Quantity!C13:N13))</f>
        <v>2</v>
      </c>
      <c r="N11" s="25" cm="1">
        <f t="array" ref="N11">IF(SUM(CA!C13:N13)=0,"",SUM(CA!C13:N13))</f>
        <v>1899</v>
      </c>
    </row>
    <row r="12" spans="1:14" ht="15.75" customHeight="1" x14ac:dyDescent="0.25">
      <c r="A12" s="1"/>
      <c r="B12" s="22" t="str" cm="1">
        <f t="array" ref="B12">Quantity!B14</f>
        <v>[#418022] ADIAVET™ M.HYOP REAL TIME</v>
      </c>
      <c r="C12" s="23" cm="1">
        <f t="array" ref="C12">Quantity!O14</f>
        <v>0</v>
      </c>
      <c r="D12" s="24" cm="1">
        <f t="array" ref="D12">CA!O14</f>
        <v>0</v>
      </c>
      <c r="E12" s="23" cm="1">
        <f t="array" ref="E12">Quantity!C14</f>
        <v>0</v>
      </c>
      <c r="F12" s="25" cm="1">
        <f t="array" ref="F12">CA!C14</f>
        <v>0</v>
      </c>
      <c r="G12" s="26" cm="1">
        <f t="array" aca="1" ref="G12" ca="1">SUMIFS(Quantity!$C14:$AH14,Quantity!$C$7:$AH$7,H$6,Quantity!$C$8:$AH$8,TRUE)</f>
        <v>0</v>
      </c>
      <c r="H12" s="24" cm="1">
        <f t="array" aca="1" ref="H12" ca="1">SUMIFS(CA!$C14:$AQ14,CA!$C$7:$AQ$7,H$6,CA!$C$8:$AQ$8,TRUE)</f>
        <v>0</v>
      </c>
      <c r="I12" s="23" cm="1">
        <f t="array" aca="1" ref="I12" ca="1">SUMIFS(Quantity!$C14:$AH14,Quantity!$C$7:$AH$7,J$6,Quantity!$C$8:$AH$8,TRUE)</f>
        <v>0</v>
      </c>
      <c r="J12" s="25" cm="1">
        <f t="array" aca="1" ref="J12" ca="1">SUMIFS(CA!$C14:$AQ14,CA!$C$7:$AQ$7,J$6,CA!$C$8:$AQ$8,TRUE)</f>
        <v>0</v>
      </c>
      <c r="K12" s="26" cm="1">
        <f t="array" ref="K12">IF(SUM(Quantity!O14:Z14)=0,"",SUM(Quantity!O14:Z14))</f>
        <v>1</v>
      </c>
      <c r="L12" s="24" cm="1">
        <f t="array" ref="L12">IF(SUM(CA!O14:Z14)=0,"",SUM(CA!O14:Z14))</f>
        <v>927</v>
      </c>
      <c r="M12" s="23" t="str" cm="1">
        <f t="array" ref="M12">IF(SUM(Quantity!C14:N14)=0,"",SUM(Quantity!C14:N14))</f>
        <v/>
      </c>
      <c r="N12" s="25" t="str" cm="1">
        <f t="array" ref="N12">IF(SUM(CA!C14:N14)=0,"",SUM(CA!C14:N14))</f>
        <v/>
      </c>
    </row>
    <row r="13" spans="1:14" ht="15.75" customHeight="1" x14ac:dyDescent="0.25">
      <c r="A13" s="1"/>
      <c r="B13" s="22" t="str" cm="1">
        <f t="array" ref="B13">Quantity!B15</f>
        <v>[#418023] ADIAVET™ NEOSPORA REAL TIME</v>
      </c>
      <c r="C13" s="23" cm="1">
        <f t="array" ref="C13">Quantity!O15</f>
        <v>0</v>
      </c>
      <c r="D13" s="24" cm="1">
        <f t="array" ref="D13">CA!O15</f>
        <v>0</v>
      </c>
      <c r="E13" s="23" cm="1">
        <f t="array" ref="E13">Quantity!C15</f>
        <v>0</v>
      </c>
      <c r="F13" s="25" cm="1">
        <f t="array" ref="F13">CA!C15</f>
        <v>0</v>
      </c>
      <c r="G13" s="26" cm="1">
        <f t="array" aca="1" ref="G13" ca="1">SUMIFS(Quantity!$C15:$AH15,Quantity!$C$7:$AH$7,H$6,Quantity!$C$8:$AH$8,TRUE)</f>
        <v>0</v>
      </c>
      <c r="H13" s="24" cm="1">
        <f t="array" aca="1" ref="H13" ca="1">SUMIFS(CA!$C15:$AQ15,CA!$C$7:$AQ$7,H$6,CA!$C$8:$AQ$8,TRUE)</f>
        <v>0</v>
      </c>
      <c r="I13" s="23" cm="1">
        <f t="array" aca="1" ref="I13" ca="1">SUMIFS(Quantity!$C15:$AH15,Quantity!$C$7:$AH$7,J$6,Quantity!$C$8:$AH$8,TRUE)</f>
        <v>0</v>
      </c>
      <c r="J13" s="25" cm="1">
        <f t="array" aca="1" ref="J13" ca="1">SUMIFS(CA!$C15:$AQ15,CA!$C$7:$AQ$7,J$6,CA!$C$8:$AQ$8,TRUE)</f>
        <v>0</v>
      </c>
      <c r="K13" s="26" cm="1">
        <f t="array" ref="K13">IF(SUM(Quantity!O15:Z15)=0,"",SUM(Quantity!O15:Z15))</f>
        <v>3</v>
      </c>
      <c r="L13" s="24" cm="1">
        <f t="array" ref="L13">IF(SUM(CA!O15:Z15)=0,"",SUM(CA!O15:Z15))</f>
        <v>840</v>
      </c>
      <c r="M13" s="23" cm="1">
        <f t="array" ref="M13">IF(SUM(Quantity!C15:N15)=0,"",SUM(Quantity!C15:N15))</f>
        <v>2</v>
      </c>
      <c r="N13" s="25" cm="1">
        <f t="array" ref="N13">IF(SUM(CA!C15:N15)=0,"",SUM(CA!C15:N15))</f>
        <v>560</v>
      </c>
    </row>
    <row r="14" spans="1:14" ht="16.5" customHeight="1" x14ac:dyDescent="0.25">
      <c r="A14" s="1"/>
      <c r="B14" s="22" t="str" cm="1">
        <f t="array" ref="B14">Quantity!B16</f>
        <v xml:space="preserve">[#418024] ADIAVET™ CHLAM.A. REAL TIME </v>
      </c>
      <c r="C14" s="23" cm="1">
        <f t="array" ref="C14">Quantity!O16</f>
        <v>0</v>
      </c>
      <c r="D14" s="24" cm="1">
        <f t="array" ref="D14">CA!O16</f>
        <v>0</v>
      </c>
      <c r="E14" s="23" cm="1">
        <f t="array" ref="E14">Quantity!C16</f>
        <v>0</v>
      </c>
      <c r="F14" s="25" cm="1">
        <f t="array" ref="F14">CA!C16</f>
        <v>0</v>
      </c>
      <c r="G14" s="26" cm="1">
        <f t="array" aca="1" ref="G14" ca="1">SUMIFS(Quantity!$C16:$AH16,Quantity!$C$7:$AH$7,H$6,Quantity!$C$8:$AH$8,TRUE)</f>
        <v>0</v>
      </c>
      <c r="H14" s="24" cm="1">
        <f t="array" aca="1" ref="H14" ca="1">SUMIFS(CA!$C16:$AQ16,CA!$C$7:$AQ$7,H$6,CA!$C$8:$AQ$8,TRUE)</f>
        <v>0</v>
      </c>
      <c r="I14" s="23" cm="1">
        <f t="array" aca="1" ref="I14" ca="1">SUMIFS(Quantity!$C16:$AH16,Quantity!$C$7:$AH$7,J$6,Quantity!$C$8:$AH$8,TRUE)</f>
        <v>0</v>
      </c>
      <c r="J14" s="25" cm="1">
        <f t="array" aca="1" ref="J14" ca="1">SUMIFS(CA!$C16:$AQ16,CA!$C$7:$AQ$7,J$6,CA!$C$8:$AQ$8,TRUE)</f>
        <v>0</v>
      </c>
      <c r="K14" s="26" cm="1">
        <f t="array" ref="K14">IF(SUM(Quantity!O16:Z16)=0,"",SUM(Quantity!O16:Z16))</f>
        <v>4</v>
      </c>
      <c r="L14" s="24" cm="1">
        <f t="array" ref="L14">IF(SUM(CA!O16:Z16)=0,"",SUM(CA!O16:Z16))</f>
        <v>1120</v>
      </c>
      <c r="M14" s="23" cm="1">
        <f t="array" ref="M14">IF(SUM(Quantity!C16:N16)=0,"",SUM(Quantity!C16:N16))</f>
        <v>2</v>
      </c>
      <c r="N14" s="25" cm="1">
        <f t="array" ref="N14">IF(SUM(CA!C16:N16)=0,"",SUM(CA!C16:N16))</f>
        <v>560</v>
      </c>
    </row>
    <row r="15" spans="1:14" ht="15.75" customHeight="1" x14ac:dyDescent="0.25">
      <c r="A15" s="1"/>
      <c r="B15" s="22" t="str" cm="1">
        <f t="array" ref="B15">Quantity!B17</f>
        <v>[#418026] ADIAVET™ LEPTO REAL TIME</v>
      </c>
      <c r="C15" s="23" cm="1">
        <f t="array" ref="C15">Quantity!O17</f>
        <v>4</v>
      </c>
      <c r="D15" s="24" cm="1">
        <f t="array" ref="D15">CA!O17</f>
        <v>2200</v>
      </c>
      <c r="E15" s="23" cm="1">
        <f t="array" ref="E15">Quantity!C17</f>
        <v>4</v>
      </c>
      <c r="F15" s="25" cm="1">
        <f t="array" ref="F15">CA!C17</f>
        <v>2200</v>
      </c>
      <c r="G15" s="26" cm="1">
        <f t="array" aca="1" ref="G15" ca="1">SUMIFS(Quantity!$C17:$AH17,Quantity!$C$7:$AH$7,H$6,Quantity!$C$8:$AH$8,TRUE)</f>
        <v>0</v>
      </c>
      <c r="H15" s="24" cm="1">
        <f t="array" aca="1" ref="H15" ca="1">SUMIFS(CA!$C17:$AQ17,CA!$C$7:$AQ$7,H$6,CA!$C$8:$AQ$8,TRUE)</f>
        <v>0</v>
      </c>
      <c r="I15" s="23" cm="1">
        <f t="array" aca="1" ref="I15" ca="1">SUMIFS(Quantity!$C17:$AH17,Quantity!$C$7:$AH$7,J$6,Quantity!$C$8:$AH$8,TRUE)</f>
        <v>0</v>
      </c>
      <c r="J15" s="25" cm="1">
        <f t="array" aca="1" ref="J15" ca="1">SUMIFS(CA!$C17:$AQ17,CA!$C$7:$AQ$7,J$6,CA!$C$8:$AQ$8,TRUE)</f>
        <v>0</v>
      </c>
      <c r="K15" s="26" cm="1">
        <f t="array" ref="K15">IF(SUM(Quantity!O17:Z17)=0,"",SUM(Quantity!O17:Z17))</f>
        <v>22</v>
      </c>
      <c r="L15" s="24" cm="1">
        <f t="array" ref="L15">IF(SUM(CA!O17:Z17)=0,"",SUM(CA!O17:Z17))</f>
        <v>12100</v>
      </c>
      <c r="M15" s="23" cm="1">
        <f t="array" ref="M15">IF(SUM(Quantity!C17:N17)=0,"",SUM(Quantity!C17:N17))</f>
        <v>31</v>
      </c>
      <c r="N15" s="25" cm="1">
        <f t="array" ref="N15">IF(SUM(CA!C17:N17)=0,"",SUM(CA!C17:N17))</f>
        <v>16850</v>
      </c>
    </row>
    <row r="16" spans="1:14" ht="15.75" customHeight="1" x14ac:dyDescent="0.25">
      <c r="A16" s="1"/>
      <c r="B16" s="27" t="str" cm="1">
        <f t="array" ref="B16">Quantity!B18</f>
        <v>[#418027] ADIAVET™ TOXO REAL TIME</v>
      </c>
      <c r="C16" s="28" cm="1">
        <f t="array" ref="C16">Quantity!O18</f>
        <v>0</v>
      </c>
      <c r="D16" s="29" cm="1">
        <f t="array" ref="D16">CA!O18</f>
        <v>0</v>
      </c>
      <c r="E16" s="28" cm="1">
        <f t="array" ref="E16">Quantity!C18</f>
        <v>0</v>
      </c>
      <c r="F16" s="30" cm="1">
        <f t="array" ref="F16">CA!C18</f>
        <v>0</v>
      </c>
      <c r="G16" s="31" cm="1">
        <f t="array" aca="1" ref="G16" ca="1">SUMIFS(Quantity!$C18:$AH18,Quantity!$C$7:$AH$7,H$6,Quantity!$C$8:$AH$8,TRUE)</f>
        <v>0</v>
      </c>
      <c r="H16" s="29" cm="1">
        <f t="array" aca="1" ref="H16" ca="1">SUMIFS(CA!$C18:$AQ18,CA!$C$7:$AQ$7,H$6,CA!$C$8:$AQ$8,TRUE)</f>
        <v>0</v>
      </c>
      <c r="I16" s="28" cm="1">
        <f t="array" aca="1" ref="I16" ca="1">SUMIFS(Quantity!$C18:$AH18,Quantity!$C$7:$AH$7,J$6,Quantity!$C$8:$AH$8,TRUE)</f>
        <v>0</v>
      </c>
      <c r="J16" s="30" cm="1">
        <f t="array" aca="1" ref="J16" ca="1">SUMIFS(CA!$C18:$AQ18,CA!$C$7:$AQ$7,J$6,CA!$C$8:$AQ$8,TRUE)</f>
        <v>0</v>
      </c>
      <c r="K16" s="31" t="str" cm="1">
        <f t="array" ref="K16">IF(SUM(Quantity!O18:Z18)=0,"",SUM(Quantity!O18:Z18))</f>
        <v/>
      </c>
      <c r="L16" s="29" t="str" cm="1">
        <f t="array" ref="L16">IF(SUM(CA!O18:Z18)=0,"",SUM(CA!O18:Z18))</f>
        <v/>
      </c>
      <c r="M16" s="28" t="str" cm="1">
        <f t="array" ref="M16">IF(SUM(Quantity!C18:N18)=0,"",SUM(Quantity!C18:N18))</f>
        <v/>
      </c>
      <c r="N16" s="30" t="str" cm="1">
        <f t="array" ref="N16">IF(SUM(CA!C18:N18)=0,"",SUM(CA!C18:N18))</f>
        <v/>
      </c>
    </row>
    <row r="17" spans="1:14" ht="15.75" customHeight="1" x14ac:dyDescent="0.25">
      <c r="A17" s="1"/>
      <c r="B17" s="32" t="str" cm="1">
        <f t="array" ref="B17">Quantity!B10</f>
        <v>[ADPREP-100] ADIAPREP™ 100</v>
      </c>
      <c r="C17" s="33" cm="1">
        <f t="array" ref="C17">Quantity!O10</f>
        <v>0</v>
      </c>
      <c r="D17" s="34" cm="1">
        <f t="array" ref="D17">CA!O10</f>
        <v>0</v>
      </c>
      <c r="E17" s="33" cm="1">
        <f t="array" ref="E17">Quantity!C10</f>
        <v>0</v>
      </c>
      <c r="F17" s="35" cm="1">
        <f t="array" ref="F17">CA!C10</f>
        <v>0</v>
      </c>
      <c r="G17" s="36" cm="1">
        <f t="array" aca="1" ref="G17" ca="1">SUMIFS(Quantity!$C10:$AH10,Quantity!$C$7:$AH$7,H$6,Quantity!$C$8:$AH$8,TRUE)</f>
        <v>0</v>
      </c>
      <c r="H17" s="34" cm="1">
        <f t="array" aca="1" ref="H17" ca="1">SUMIFS(CA!$C10:$AQ10,CA!$C$7:$AQ$7,H$6,CA!$C$8:$AQ$8,TRUE)</f>
        <v>0</v>
      </c>
      <c r="I17" s="33" cm="1">
        <f t="array" aca="1" ref="I17" ca="1">SUMIFS(Quantity!$C10:$AH10,Quantity!$C$7:$AH$7,J$6,Quantity!$C$8:$AH$8,TRUE)</f>
        <v>0</v>
      </c>
      <c r="J17" s="35" cm="1">
        <f t="array" aca="1" ref="J17" ca="1">SUMIFS(CA!$C10:$AQ10,CA!$C$7:$AQ$7,J$6,CA!$C$8:$AQ$8,TRUE)</f>
        <v>0</v>
      </c>
      <c r="K17" s="36" t="str" cm="1">
        <f t="array" ref="K17">IF(SUM(Quantity!O10:Z10)=0,"",SUM(Quantity!O10:Z10))</f>
        <v/>
      </c>
      <c r="L17" s="34" t="str" cm="1">
        <f t="array" ref="L17">IF(SUM(CA!O10:Z10)=0,"",SUM(CA!O10:Z10))</f>
        <v/>
      </c>
      <c r="M17" s="33" cm="1">
        <f t="array" ref="M17">IF(SUM(Quantity!C10:N10)=0,"",SUM(Quantity!C10:N10))</f>
        <v>1</v>
      </c>
      <c r="N17" s="35" cm="1">
        <f t="array" ref="N17">IF(SUM(CA!C10:N10)=0,"",SUM(CA!C10:N10))</f>
        <v>185</v>
      </c>
    </row>
    <row r="18" spans="1:14" x14ac:dyDescent="0.25">
      <c r="A18" s="1"/>
      <c r="B18" s="22" t="str" cm="1">
        <f t="array" ref="B18">Quantity!B19</f>
        <v xml:space="preserve">[#418028] ADIAVET™ ANA PHA  REAL TIME </v>
      </c>
      <c r="C18" s="23" cm="1">
        <f t="array" ref="C18">Quantity!O19</f>
        <v>1</v>
      </c>
      <c r="D18" s="24" cm="1">
        <f t="array" ref="D18">CA!O19</f>
        <v>350</v>
      </c>
      <c r="E18" s="23" cm="1">
        <f t="array" ref="E18">Quantity!C19</f>
        <v>3</v>
      </c>
      <c r="F18" s="25" cm="1">
        <f t="array" ref="F18">CA!C19</f>
        <v>1050</v>
      </c>
      <c r="G18" s="26" cm="1">
        <f t="array" aca="1" ref="G18" ca="1">SUMIFS(Quantity!$C19:$AH19,Quantity!$C$7:$AH$7,H$6,Quantity!$C$8:$AH$8,TRUE)</f>
        <v>0</v>
      </c>
      <c r="H18" s="24" cm="1">
        <f t="array" aca="1" ref="H18" ca="1">SUMIFS(CA!$C19:$AQ19,CA!$C$7:$AQ$7,H$6,CA!$C$8:$AQ$8,TRUE)</f>
        <v>0</v>
      </c>
      <c r="I18" s="23" cm="1">
        <f t="array" aca="1" ref="I18" ca="1">SUMIFS(Quantity!$C19:$AH19,Quantity!$C$7:$AH$7,J$6,Quantity!$C$8:$AH$8,TRUE)</f>
        <v>0</v>
      </c>
      <c r="J18" s="25" cm="1">
        <f t="array" aca="1" ref="J18" ca="1">SUMIFS(CA!$C19:$AQ19,CA!$C$7:$AQ$7,J$6,CA!$C$8:$AQ$8,TRUE)</f>
        <v>0</v>
      </c>
      <c r="K18" s="26" cm="1">
        <f t="array" ref="K18">IF(SUM(Quantity!O19:Z19)=0,"",SUM(Quantity!O19:Z19))</f>
        <v>29</v>
      </c>
      <c r="L18" s="24" cm="1">
        <f t="array" ref="L18">IF(SUM(CA!O19:Z19)=0,"",SUM(CA!O19:Z19))</f>
        <v>10150</v>
      </c>
      <c r="M18" s="23" cm="1">
        <f t="array" ref="M18">IF(SUM(Quantity!C19:N19)=0,"",SUM(Quantity!C19:N19))</f>
        <v>46</v>
      </c>
      <c r="N18" s="25" cm="1">
        <f t="array" ref="N18">IF(SUM(CA!C19:N19)=0,"",SUM(CA!C19:N19))</f>
        <v>16900</v>
      </c>
    </row>
    <row r="19" spans="1:14" x14ac:dyDescent="0.25">
      <c r="A19" s="1"/>
      <c r="B19" s="22" t="str" cm="1">
        <f t="array" ref="B19">Quantity!B20</f>
        <v>[ADC04SQ01] Adiacontrol Quantified Extraction Positive Control Paratb Faeces</v>
      </c>
      <c r="C19" s="23" cm="1">
        <f t="array" ref="C19">Quantity!O20</f>
        <v>0</v>
      </c>
      <c r="D19" s="24" cm="1">
        <f t="array" ref="D19">CA!O20</f>
        <v>0</v>
      </c>
      <c r="E19" s="23" cm="1">
        <f t="array" ref="E19">Quantity!C20</f>
        <v>0</v>
      </c>
      <c r="F19" s="25" cm="1">
        <f t="array" ref="F19">CA!C20</f>
        <v>0</v>
      </c>
      <c r="G19" s="26" cm="1">
        <f t="array" aca="1" ref="G19" ca="1">SUMIFS(Quantity!$C20:$AH20,Quantity!$C$7:$AH$7,H$6,Quantity!$C$8:$AH$8,TRUE)</f>
        <v>0</v>
      </c>
      <c r="H19" s="24" cm="1">
        <f t="array" aca="1" ref="H19" ca="1">SUMIFS(CA!$C20:$AQ20,CA!$C$7:$AQ$7,H$6,CA!$C$8:$AQ$8,TRUE)</f>
        <v>0</v>
      </c>
      <c r="I19" s="23" cm="1">
        <f t="array" aca="1" ref="I19" ca="1">SUMIFS(Quantity!$C20:$AH20,Quantity!$C$7:$AH$7,J$6,Quantity!$C$8:$AH$8,TRUE)</f>
        <v>0</v>
      </c>
      <c r="J19" s="25" cm="1">
        <f t="array" aca="1" ref="J19" ca="1">SUMIFS(CA!$C20:$AQ20,CA!$C$7:$AQ$7,J$6,CA!$C$8:$AQ$8,TRUE)</f>
        <v>0</v>
      </c>
      <c r="K19" s="26" t="str" cm="1">
        <f t="array" ref="K19">IF(SUM(Quantity!O20:Z20)=0,"",SUM(Quantity!O20:Z20))</f>
        <v/>
      </c>
      <c r="L19" s="24" t="str" cm="1">
        <f t="array" ref="L19">IF(SUM(CA!O20:Z20)=0,"",SUM(CA!O20:Z20))</f>
        <v/>
      </c>
      <c r="M19" s="23" cm="1">
        <f t="array" ref="M19">IF(SUM(Quantity!C20:N20)=0,"",SUM(Quantity!C20:N20))</f>
        <v>2</v>
      </c>
      <c r="N19" s="25" t="str" cm="1">
        <f t="array" ref="N19">IF(SUM(CA!C20:N20)=0,"",SUM(CA!C20:N20))</f>
        <v/>
      </c>
    </row>
    <row r="20" spans="1:14" x14ac:dyDescent="0.25">
      <c r="A20" s="1"/>
      <c r="B20" s="22" t="str" cm="1">
        <f t="array" ref="B20">Quantity!B21</f>
        <v>[ADC10S02] Adiacontrol Extraction Positive Control BVDV EAR</v>
      </c>
      <c r="C20" s="23" cm="1">
        <f t="array" ref="C20">Quantity!O21</f>
        <v>0</v>
      </c>
      <c r="D20" s="24" cm="1">
        <f t="array" ref="D20">CA!O21</f>
        <v>0</v>
      </c>
      <c r="E20" s="23" cm="1">
        <f t="array" ref="E20">Quantity!C21</f>
        <v>0</v>
      </c>
      <c r="F20" s="25" cm="1">
        <f t="array" ref="F20">CA!C21</f>
        <v>0</v>
      </c>
      <c r="G20" s="26" cm="1">
        <f t="array" aca="1" ref="G20" ca="1">SUMIFS(Quantity!$C21:$AH21,Quantity!$C$7:$AH$7,H$6,Quantity!$C$8:$AH$8,TRUE)</f>
        <v>0</v>
      </c>
      <c r="H20" s="24" cm="1">
        <f t="array" aca="1" ref="H20" ca="1">SUMIFS(CA!$C21:$AQ21,CA!$C$7:$AQ$7,H$6,CA!$C$8:$AQ$8,TRUE)</f>
        <v>0</v>
      </c>
      <c r="I20" s="23" cm="1">
        <f t="array" aca="1" ref="I20" ca="1">SUMIFS(Quantity!$C21:$AH21,Quantity!$C$7:$AH$7,J$6,Quantity!$C$8:$AH$8,TRUE)</f>
        <v>0</v>
      </c>
      <c r="J20" s="25" cm="1">
        <f t="array" aca="1" ref="J20" ca="1">SUMIFS(CA!$C21:$AQ21,CA!$C$7:$AQ$7,J$6,CA!$C$8:$AQ$8,TRUE)</f>
        <v>0</v>
      </c>
      <c r="K20" s="26" cm="1">
        <f t="array" ref="K20">IF(SUM(Quantity!O21:Z21)=0,"",SUM(Quantity!O21:Z21))</f>
        <v>1</v>
      </c>
      <c r="L20" s="24" t="str" cm="1">
        <f t="array" ref="L20">IF(SUM(CA!O21:Z21)=0,"",SUM(CA!O21:Z21))</f>
        <v/>
      </c>
      <c r="M20" s="23" cm="1">
        <f t="array" ref="M20">IF(SUM(Quantity!C21:N21)=0,"",SUM(Quantity!C21:N21))</f>
        <v>1</v>
      </c>
      <c r="N20" s="25" t="str" cm="1">
        <f t="array" ref="N20">IF(SUM(CA!C21:N21)=0,"",SUM(CA!C21:N21))</f>
        <v/>
      </c>
    </row>
    <row r="21" spans="1:14" x14ac:dyDescent="0.25">
      <c r="A21" s="1"/>
      <c r="B21" s="22" t="str" cm="1">
        <f t="array" ref="B21">Quantity!B22</f>
        <v>[ADI016-100] ADIAVET™ MYCO AV FAST TIME</v>
      </c>
      <c r="C21" s="23" cm="1">
        <f t="array" ref="C21">Quantity!O22</f>
        <v>0</v>
      </c>
      <c r="D21" s="24" cm="1">
        <f t="array" ref="D21">CA!O22</f>
        <v>0</v>
      </c>
      <c r="E21" s="23" cm="1">
        <f t="array" ref="E21">Quantity!C22</f>
        <v>1</v>
      </c>
      <c r="F21" s="25" cm="1">
        <f t="array" ref="F21">CA!C22</f>
        <v>400</v>
      </c>
      <c r="G21" s="26" cm="1">
        <f t="array" aca="1" ref="G21" ca="1">SUMIFS(Quantity!$C22:$AH22,Quantity!$C$7:$AH$7,H$6,Quantity!$C$8:$AH$8,TRUE)</f>
        <v>0</v>
      </c>
      <c r="H21" s="24" cm="1">
        <f t="array" aca="1" ref="H21" ca="1">SUMIFS(CA!$C22:$AQ22,CA!$C$7:$AQ$7,H$6,CA!$C$8:$AQ$8,TRUE)</f>
        <v>0</v>
      </c>
      <c r="I21" s="23" cm="1">
        <f t="array" aca="1" ref="I21" ca="1">SUMIFS(Quantity!$C22:$AH22,Quantity!$C$7:$AH$7,J$6,Quantity!$C$8:$AH$8,TRUE)</f>
        <v>0</v>
      </c>
      <c r="J21" s="25" cm="1">
        <f t="array" aca="1" ref="J21" ca="1">SUMIFS(CA!$C22:$AQ22,CA!$C$7:$AQ$7,J$6,CA!$C$8:$AQ$8,TRUE)</f>
        <v>0</v>
      </c>
      <c r="K21" s="26" cm="1">
        <f t="array" ref="K21">IF(SUM(Quantity!O22:Z22)=0,"",SUM(Quantity!O22:Z22))</f>
        <v>14</v>
      </c>
      <c r="L21" s="24" cm="1">
        <f t="array" ref="L21">IF(SUM(CA!O22:Z22)=0,"",SUM(CA!O22:Z22))</f>
        <v>10902.9</v>
      </c>
      <c r="M21" s="23" cm="1">
        <f t="array" ref="M21">IF(SUM(Quantity!C22:N22)=0,"",SUM(Quantity!C22:N22))</f>
        <v>1</v>
      </c>
      <c r="N21" s="25" cm="1">
        <f t="array" ref="N21">IF(SUM(CA!C22:N22)=0,"",SUM(CA!C22:N22))</f>
        <v>400</v>
      </c>
    </row>
    <row r="22" spans="1:14" x14ac:dyDescent="0.25">
      <c r="A22" s="1"/>
      <c r="B22" s="22" t="str" cm="1">
        <f t="array" ref="B22">Quantity!B23</f>
        <v>[ADI016-500] ADIAVET™ MYCO AV FAST TIME</v>
      </c>
      <c r="C22" s="23" cm="1">
        <f t="array" ref="C22">Quantity!O23</f>
        <v>0</v>
      </c>
      <c r="D22" s="24" cm="1">
        <f t="array" ref="D22">CA!O23</f>
        <v>0</v>
      </c>
      <c r="E22" s="23" cm="1">
        <f t="array" ref="E22">Quantity!C23</f>
        <v>0</v>
      </c>
      <c r="F22" s="25" cm="1">
        <f t="array" ref="F22">CA!C23</f>
        <v>0</v>
      </c>
      <c r="G22" s="26" cm="1">
        <f t="array" aca="1" ref="G22" ca="1">SUMIFS(Quantity!$C23:$AH23,Quantity!$C$7:$AH$7,H$6,Quantity!$C$8:$AH$8,TRUE)</f>
        <v>0</v>
      </c>
      <c r="H22" s="24" cm="1">
        <f t="array" aca="1" ref="H22" ca="1">SUMIFS(CA!$C23:$AQ23,CA!$C$7:$AQ$7,H$6,CA!$C$8:$AQ$8,TRUE)</f>
        <v>0</v>
      </c>
      <c r="I22" s="23" cm="1">
        <f t="array" aca="1" ref="I22" ca="1">SUMIFS(Quantity!$C23:$AH23,Quantity!$C$7:$AH$7,J$6,Quantity!$C$8:$AH$8,TRUE)</f>
        <v>0</v>
      </c>
      <c r="J22" s="25" cm="1">
        <f t="array" aca="1" ref="J22" ca="1">SUMIFS(CA!$C23:$AQ23,CA!$C$7:$AQ$7,J$6,CA!$C$8:$AQ$8,TRUE)</f>
        <v>0</v>
      </c>
      <c r="K22" s="26" t="str" cm="1">
        <f t="array" ref="K22">IF(SUM(Quantity!O23:Z23)=0,"",SUM(Quantity!O23:Z23))</f>
        <v/>
      </c>
      <c r="L22" s="24" t="str" cm="1">
        <f t="array" ref="L22">IF(SUM(CA!O23:Z23)=0,"",SUM(CA!O23:Z23))</f>
        <v/>
      </c>
      <c r="M22" s="23" t="str" cm="1">
        <f t="array" ref="M22">IF(SUM(Quantity!C23:N23)=0,"",SUM(Quantity!C23:N23))</f>
        <v/>
      </c>
      <c r="N22" s="25" t="str" cm="1">
        <f t="array" ref="N22">IF(SUM(CA!C23:N23)=0,"",SUM(CA!C23:N23))</f>
        <v/>
      </c>
    </row>
    <row r="23" spans="1:14" x14ac:dyDescent="0.25">
      <c r="A23" s="1"/>
      <c r="B23" s="22" t="str" cm="1">
        <f t="array" ref="B23">Quantity!B24</f>
        <v>[ADI033-100] ADIAVET™ APP REAL TIME</v>
      </c>
      <c r="C23" s="23" cm="1">
        <f t="array" ref="C23">Quantity!O24</f>
        <v>0</v>
      </c>
      <c r="D23" s="24" cm="1">
        <f t="array" ref="D23">CA!O24</f>
        <v>0</v>
      </c>
      <c r="E23" s="23" cm="1">
        <f t="array" ref="E23">Quantity!C24</f>
        <v>0</v>
      </c>
      <c r="F23" s="25" cm="1">
        <f t="array" ref="F23">CA!C24</f>
        <v>0</v>
      </c>
      <c r="G23" s="26" cm="1">
        <f t="array" aca="1" ref="G23" ca="1">SUMIFS(Quantity!$C24:$AH24,Quantity!$C$7:$AH$7,H$6,Quantity!$C$8:$AH$8,TRUE)</f>
        <v>0</v>
      </c>
      <c r="H23" s="24" cm="1">
        <f t="array" aca="1" ref="H23" ca="1">SUMIFS(CA!$C24:$AQ24,CA!$C$7:$AQ$7,H$6,CA!$C$8:$AQ$8,TRUE)</f>
        <v>0</v>
      </c>
      <c r="I23" s="23" cm="1">
        <f t="array" aca="1" ref="I23" ca="1">SUMIFS(Quantity!$C24:$AH24,Quantity!$C$7:$AH$7,J$6,Quantity!$C$8:$AH$8,TRUE)</f>
        <v>0</v>
      </c>
      <c r="J23" s="25" cm="1">
        <f t="array" aca="1" ref="J23" ca="1">SUMIFS(CA!$C24:$AQ24,CA!$C$7:$AQ$7,J$6,CA!$C$8:$AQ$8,TRUE)</f>
        <v>0</v>
      </c>
      <c r="K23" s="26" cm="1">
        <f t="array" ref="K23">IF(SUM(Quantity!O24:Z24)=0,"",SUM(Quantity!O24:Z24))</f>
        <v>1</v>
      </c>
      <c r="L23" s="24" cm="1">
        <f t="array" ref="L23">IF(SUM(CA!O24:Z24)=0,"",SUM(CA!O24:Z24))</f>
        <v>403</v>
      </c>
      <c r="M23" s="23" cm="1">
        <f t="array" ref="M23">IF(SUM(Quantity!C24:N24)=0,"",SUM(Quantity!C24:N24))</f>
        <v>1</v>
      </c>
      <c r="N23" s="25" cm="1">
        <f t="array" ref="N23">IF(SUM(CA!C24:N24)=0,"",SUM(CA!C24:N24))</f>
        <v>743.5</v>
      </c>
    </row>
    <row r="24" spans="1:14" x14ac:dyDescent="0.25">
      <c r="A24" s="1"/>
      <c r="B24" s="22" t="str" cm="1">
        <f t="array" ref="B24">Quantity!B25</f>
        <v xml:space="preserve">[ADI045-100] ADIAVET™ PARATB REAL TIME </v>
      </c>
      <c r="C24" s="23" cm="1">
        <f t="array" ref="C24">Quantity!O25</f>
        <v>7</v>
      </c>
      <c r="D24" s="24" cm="1">
        <f t="array" ref="D24">CA!O25</f>
        <v>2440.1999999999998</v>
      </c>
      <c r="E24" s="23" cm="1">
        <f t="array" ref="E24">Quantity!C25</f>
        <v>8</v>
      </c>
      <c r="F24" s="25" cm="1">
        <f t="array" ref="F24">CA!C25</f>
        <v>3140.4</v>
      </c>
      <c r="G24" s="26" cm="1">
        <f t="array" aca="1" ref="G24" ca="1">SUMIFS(Quantity!$C25:$AH25,Quantity!$C$7:$AH$7,H$6,Quantity!$C$8:$AH$8,TRUE)</f>
        <v>0</v>
      </c>
      <c r="H24" s="24" cm="1">
        <f t="array" aca="1" ref="H24" ca="1">SUMIFS(CA!$C25:$AQ25,CA!$C$7:$AQ$7,H$6,CA!$C$8:$AQ$8,TRUE)</f>
        <v>0</v>
      </c>
      <c r="I24" s="23" cm="1">
        <f t="array" aca="1" ref="I24" ca="1">SUMIFS(Quantity!$C25:$AH25,Quantity!$C$7:$AH$7,J$6,Quantity!$C$8:$AH$8,TRUE)</f>
        <v>0</v>
      </c>
      <c r="J24" s="25" cm="1">
        <f t="array" aca="1" ref="J24" ca="1">SUMIFS(CA!$C25:$AQ25,CA!$C$7:$AQ$7,J$6,CA!$C$8:$AQ$8,TRUE)</f>
        <v>0</v>
      </c>
      <c r="K24" s="26" cm="1">
        <f t="array" ref="K24">IF(SUM(Quantity!O25:Z25)=0,"",SUM(Quantity!O25:Z25))</f>
        <v>24</v>
      </c>
      <c r="L24" s="24" cm="1">
        <f t="array" ref="L24">IF(SUM(CA!O25:Z25)=0,"",SUM(CA!O25:Z25))</f>
        <v>10301.700000000001</v>
      </c>
      <c r="M24" s="23" cm="1">
        <f t="array" ref="M24">IF(SUM(Quantity!C25:N25)=0,"",SUM(Quantity!C25:N25))</f>
        <v>37</v>
      </c>
      <c r="N24" s="25" cm="1">
        <f t="array" ref="N24">IF(SUM(CA!C25:N25)=0,"",SUM(CA!C25:N25))</f>
        <v>14662.2</v>
      </c>
    </row>
    <row r="25" spans="1:14" ht="16.5" customHeight="1" x14ac:dyDescent="0.25">
      <c r="A25" s="1"/>
      <c r="B25" s="22" t="str" cm="1">
        <f t="array" ref="B25">Quantity!B26</f>
        <v>[ADI072-100] ADIAVET™ PRV REAL TIME</v>
      </c>
      <c r="C25" s="23" cm="1">
        <f t="array" ref="C25">Quantity!O26</f>
        <v>0</v>
      </c>
      <c r="D25" s="24" cm="1">
        <f t="array" ref="D25">CA!O26</f>
        <v>0</v>
      </c>
      <c r="E25" s="23" cm="1">
        <f t="array" ref="E25">Quantity!C26</f>
        <v>0</v>
      </c>
      <c r="F25" s="25" cm="1">
        <f t="array" ref="F25">CA!C26</f>
        <v>0</v>
      </c>
      <c r="G25" s="26" cm="1">
        <f t="array" aca="1" ref="G25" ca="1">SUMIFS(Quantity!$C26:$AH26,Quantity!$C$7:$AH$7,H$6,Quantity!$C$8:$AH$8,TRUE)</f>
        <v>0</v>
      </c>
      <c r="H25" s="24" cm="1">
        <f t="array" aca="1" ref="H25" ca="1">SUMIFS(CA!$C26:$AQ26,CA!$C$7:$AQ$7,H$6,CA!$C$8:$AQ$8,TRUE)</f>
        <v>0</v>
      </c>
      <c r="I25" s="23" cm="1">
        <f t="array" aca="1" ref="I25" ca="1">SUMIFS(Quantity!$C26:$AH26,Quantity!$C$7:$AH$7,J$6,Quantity!$C$8:$AH$8,TRUE)</f>
        <v>0</v>
      </c>
      <c r="J25" s="25" cm="1">
        <f t="array" aca="1" ref="J25" ca="1">SUMIFS(CA!$C26:$AQ26,CA!$C$7:$AQ$7,J$6,CA!$C$8:$AQ$8,TRUE)</f>
        <v>0</v>
      </c>
      <c r="K25" s="26" cm="1">
        <f t="array" ref="K25">IF(SUM(Quantity!O26:Z26)=0,"",SUM(Quantity!O26:Z26))</f>
        <v>1</v>
      </c>
      <c r="L25" s="24" cm="1">
        <f t="array" ref="L25">IF(SUM(CA!O26:Z26)=0,"",SUM(CA!O26:Z26))</f>
        <v>750</v>
      </c>
      <c r="M25" s="23" t="str" cm="1">
        <f t="array" ref="M25">IF(SUM(Quantity!C26:N26)=0,"",SUM(Quantity!C26:N26))</f>
        <v/>
      </c>
      <c r="N25" s="25" t="str" cm="1">
        <f t="array" ref="N25">IF(SUM(CA!C26:N26)=0,"",SUM(CA!C26:N26))</f>
        <v/>
      </c>
    </row>
    <row r="26" spans="1:14" ht="16.5" customHeight="1" x14ac:dyDescent="0.25">
      <c r="A26" s="1"/>
      <c r="B26" s="22" t="str" cm="1">
        <f t="array" ref="B26">Quantity!B27</f>
        <v xml:space="preserve">[ADI105-100] ADIAVET™ BVDV REAL TIME </v>
      </c>
      <c r="C26" s="23" cm="1">
        <f t="array" ref="C26">Quantity!O27</f>
        <v>0</v>
      </c>
      <c r="D26" s="24" cm="1">
        <f t="array" ref="D26">CA!O27</f>
        <v>0</v>
      </c>
      <c r="E26" s="23" cm="1">
        <f t="array" ref="E26">Quantity!C27</f>
        <v>0</v>
      </c>
      <c r="F26" s="25" cm="1">
        <f t="array" ref="F26">CA!C27</f>
        <v>0</v>
      </c>
      <c r="G26" s="26" cm="1">
        <f t="array" aca="1" ref="G26" ca="1">SUMIFS(Quantity!$C27:$AH27,Quantity!$C$7:$AH$7,H$6,Quantity!$C$8:$AH$8,TRUE)</f>
        <v>0</v>
      </c>
      <c r="H26" s="24" cm="1">
        <f t="array" aca="1" ref="H26" ca="1">SUMIFS(CA!$C27:$AQ27,CA!$C$7:$AQ$7,H$6,CA!$C$8:$AQ$8,TRUE)</f>
        <v>0</v>
      </c>
      <c r="I26" s="23" cm="1">
        <f t="array" aca="1" ref="I26" ca="1">SUMIFS(Quantity!$C27:$AH27,Quantity!$C$7:$AH$7,J$6,Quantity!$C$8:$AH$8,TRUE)</f>
        <v>0</v>
      </c>
      <c r="J26" s="25" cm="1">
        <f t="array" aca="1" ref="J26" ca="1">SUMIFS(CA!$C27:$AQ27,CA!$C$7:$AQ$7,J$6,CA!$C$8:$AQ$8,TRUE)</f>
        <v>0</v>
      </c>
      <c r="K26" s="26" cm="1">
        <f t="array" ref="K26">IF(SUM(Quantity!O27:Z27)=0,"",SUM(Quantity!O27:Z27))</f>
        <v>2</v>
      </c>
      <c r="L26" s="24" cm="1">
        <f t="array" ref="L26">IF(SUM(CA!O27:Z27)=0,"",SUM(CA!O27:Z27))</f>
        <v>900</v>
      </c>
      <c r="M26" s="23" cm="1">
        <f t="array" ref="M26">IF(SUM(Quantity!C27:N27)=0,"",SUM(Quantity!C27:N27))</f>
        <v>12</v>
      </c>
      <c r="N26" s="25" cm="1">
        <f t="array" ref="N26">IF(SUM(CA!C27:N27)=0,"",SUM(CA!C27:N27))</f>
        <v>9779.2999999999993</v>
      </c>
    </row>
    <row r="27" spans="1:14" ht="16.5" customHeight="1" x14ac:dyDescent="0.25">
      <c r="A27" s="1"/>
      <c r="B27" s="22" t="str" cm="1">
        <f t="array" ref="B27">Quantity!B28</f>
        <v xml:space="preserve">[ADI105-500] ADIAVET™ BVDV REAL TIME </v>
      </c>
      <c r="C27" s="23" cm="1">
        <f t="array" ref="C27">Quantity!O28</f>
        <v>7</v>
      </c>
      <c r="D27" s="24" cm="1">
        <f t="array" ref="D27">CA!O28</f>
        <v>5950</v>
      </c>
      <c r="E27" s="23" cm="1">
        <f t="array" ref="E27">Quantity!C28</f>
        <v>9</v>
      </c>
      <c r="F27" s="25" cm="1">
        <f t="array" ref="F27">CA!C28</f>
        <v>7650</v>
      </c>
      <c r="G27" s="26" cm="1">
        <f t="array" aca="1" ref="G27" ca="1">SUMIFS(Quantity!$C28:$AH28,Quantity!$C$7:$AH$7,H$6,Quantity!$C$8:$AH$8,TRUE)</f>
        <v>0</v>
      </c>
      <c r="H27" s="24" cm="1">
        <f t="array" aca="1" ref="H27" ca="1">SUMIFS(CA!$C28:$AQ28,CA!$C$7:$AQ$7,H$6,CA!$C$8:$AQ$8,TRUE)</f>
        <v>0</v>
      </c>
      <c r="I27" s="23" cm="1">
        <f t="array" aca="1" ref="I27" ca="1">SUMIFS(Quantity!$C28:$AH28,Quantity!$C$7:$AH$7,J$6,Quantity!$C$8:$AH$8,TRUE)</f>
        <v>0</v>
      </c>
      <c r="J27" s="25" cm="1">
        <f t="array" aca="1" ref="J27" ca="1">SUMIFS(CA!$C28:$AQ28,CA!$C$7:$AQ$7,J$6,CA!$C$8:$AQ$8,TRUE)</f>
        <v>0</v>
      </c>
      <c r="K27" s="26" cm="1">
        <f t="array" ref="K27">IF(SUM(Quantity!O28:Z28)=0,"",SUM(Quantity!O28:Z28))</f>
        <v>102</v>
      </c>
      <c r="L27" s="24" cm="1">
        <f t="array" ref="L27">IF(SUM(CA!O28:Z28)=0,"",SUM(CA!O28:Z28))</f>
        <v>86700</v>
      </c>
      <c r="M27" s="23" cm="1">
        <f t="array" ref="M27">IF(SUM(Quantity!C28:N28)=0,"",SUM(Quantity!C28:N28))</f>
        <v>107</v>
      </c>
      <c r="N27" s="25" cm="1">
        <f t="array" ref="N27">IF(SUM(CA!C28:N28)=0,"",SUM(CA!C28:N28))</f>
        <v>90950</v>
      </c>
    </row>
    <row r="28" spans="1:14" ht="16.5" customHeight="1" x14ac:dyDescent="0.25">
      <c r="A28" s="1"/>
      <c r="B28" s="22" t="str" cm="1">
        <f t="array" ref="B28">Quantity!B29</f>
        <v>[ADI106-100] ADIAVET BVDV FAST TIME 100R (historique)</v>
      </c>
      <c r="C28" s="23" cm="1">
        <f t="array" ref="C28">Quantity!O29</f>
        <v>0</v>
      </c>
      <c r="D28" s="24" cm="1">
        <f t="array" ref="D28">CA!O29</f>
        <v>0</v>
      </c>
      <c r="E28" s="23" cm="1">
        <f t="array" ref="E28">Quantity!C29</f>
        <v>0</v>
      </c>
      <c r="F28" s="25" cm="1">
        <f t="array" ref="F28">CA!C29</f>
        <v>0</v>
      </c>
      <c r="G28" s="26" cm="1">
        <f t="array" aca="1" ref="G28" ca="1">SUMIFS(Quantity!$C29:$AH29,Quantity!$C$7:$AH$7,H$6,Quantity!$C$8:$AH$8,TRUE)</f>
        <v>0</v>
      </c>
      <c r="H28" s="24" cm="1">
        <f t="array" aca="1" ref="H28" ca="1">SUMIFS(CA!$C29:$AQ29,CA!$C$7:$AQ$7,H$6,CA!$C$8:$AQ$8,TRUE)</f>
        <v>0</v>
      </c>
      <c r="I28" s="23" cm="1">
        <f t="array" aca="1" ref="I28" ca="1">SUMIFS(Quantity!$C29:$AH29,Quantity!$C$7:$AH$7,J$6,Quantity!$C$8:$AH$8,TRUE)</f>
        <v>0</v>
      </c>
      <c r="J28" s="25" cm="1">
        <f t="array" aca="1" ref="J28" ca="1">SUMIFS(CA!$C29:$AQ29,CA!$C$7:$AQ$7,J$6,CA!$C$8:$AQ$8,TRUE)</f>
        <v>0</v>
      </c>
      <c r="K28" s="26" t="str" cm="1">
        <f t="array" ref="K28">IF(SUM(Quantity!O29:Z29)=0,"",SUM(Quantity!O29:Z29))</f>
        <v/>
      </c>
      <c r="L28" s="24" t="str" cm="1">
        <f t="array" ref="L28">IF(SUM(CA!O29:Z29)=0,"",SUM(CA!O29:Z29))</f>
        <v/>
      </c>
      <c r="M28" s="23" t="str" cm="1">
        <f t="array" ref="M28">IF(SUM(Quantity!C29:N29)=0,"",SUM(Quantity!C29:N29))</f>
        <v/>
      </c>
      <c r="N28" s="25" t="str" cm="1">
        <f t="array" ref="N28">IF(SUM(CA!C29:N29)=0,"",SUM(CA!C29:N29))</f>
        <v/>
      </c>
    </row>
    <row r="29" spans="1:14" x14ac:dyDescent="0.25">
      <c r="A29" s="1"/>
      <c r="B29" s="22" t="str" cm="1">
        <f t="array" ref="B29">Quantity!B30</f>
        <v>[ADI122-100] ADIAVET™ SALMO FAST TIME</v>
      </c>
      <c r="C29" s="23" cm="1">
        <f t="array" ref="C29">Quantity!O30</f>
        <v>0</v>
      </c>
      <c r="D29" s="24" cm="1">
        <f t="array" ref="D29">CA!O30</f>
        <v>0</v>
      </c>
      <c r="E29" s="23" cm="1">
        <f t="array" ref="E29">Quantity!C30</f>
        <v>0</v>
      </c>
      <c r="F29" s="25" cm="1">
        <f t="array" ref="F29">CA!C30</f>
        <v>0</v>
      </c>
      <c r="G29" s="26" cm="1">
        <f t="array" aca="1" ref="G29" ca="1">SUMIFS(Quantity!$C30:$AH30,Quantity!$C$7:$AH$7,H$6,Quantity!$C$8:$AH$8,TRUE)</f>
        <v>0</v>
      </c>
      <c r="H29" s="24" cm="1">
        <f t="array" aca="1" ref="H29" ca="1">SUMIFS(CA!$C30:$AQ30,CA!$C$7:$AQ$7,H$6,CA!$C$8:$AQ$8,TRUE)</f>
        <v>0</v>
      </c>
      <c r="I29" s="23" cm="1">
        <f t="array" aca="1" ref="I29" ca="1">SUMIFS(Quantity!$C30:$AH30,Quantity!$C$7:$AH$7,J$6,Quantity!$C$8:$AH$8,TRUE)</f>
        <v>0</v>
      </c>
      <c r="J29" s="25" cm="1">
        <f t="array" aca="1" ref="J29" ca="1">SUMIFS(CA!$C30:$AQ30,CA!$C$7:$AQ$7,J$6,CA!$C$8:$AQ$8,TRUE)</f>
        <v>0</v>
      </c>
      <c r="K29" s="26" t="str" cm="1">
        <f t="array" ref="K29">IF(SUM(Quantity!O30:Z30)=0,"",SUM(Quantity!O30:Z30))</f>
        <v/>
      </c>
      <c r="L29" s="24" t="str" cm="1">
        <f t="array" ref="L29">IF(SUM(CA!O30:Z30)=0,"",SUM(CA!O30:Z30))</f>
        <v/>
      </c>
      <c r="M29" s="23" t="str" cm="1">
        <f t="array" ref="M29">IF(SUM(Quantity!C30:N30)=0,"",SUM(Quantity!C30:N30))</f>
        <v/>
      </c>
      <c r="N29" s="25" t="str" cm="1">
        <f t="array" ref="N29">IF(SUM(CA!C30:N30)=0,"",SUM(CA!C30:N30))</f>
        <v/>
      </c>
    </row>
    <row r="30" spans="1:14" x14ac:dyDescent="0.25">
      <c r="A30" s="1"/>
      <c r="B30" s="22" t="str" cm="1">
        <f t="array" ref="B30">Quantity!B31</f>
        <v>[ADI143-100] ADIAVET™ COXIELLA REAL TIME</v>
      </c>
      <c r="C30" s="23" cm="1">
        <f t="array" ref="C30">Quantity!O31</f>
        <v>2</v>
      </c>
      <c r="D30" s="24" cm="1">
        <f t="array" ref="D30">CA!O31</f>
        <v>560</v>
      </c>
      <c r="E30" s="23" cm="1">
        <f t="array" ref="E30">Quantity!C31</f>
        <v>5</v>
      </c>
      <c r="F30" s="25" cm="1">
        <f t="array" ref="F30">CA!C31</f>
        <v>1400</v>
      </c>
      <c r="G30" s="26" cm="1">
        <f t="array" aca="1" ref="G30" ca="1">SUMIFS(Quantity!$C31:$AH31,Quantity!$C$7:$AH$7,H$6,Quantity!$C$8:$AH$8,TRUE)</f>
        <v>0</v>
      </c>
      <c r="H30" s="24" cm="1">
        <f t="array" aca="1" ref="H30" ca="1">SUMIFS(CA!$C31:$AQ31,CA!$C$7:$AQ$7,H$6,CA!$C$8:$AQ$8,TRUE)</f>
        <v>0</v>
      </c>
      <c r="I30" s="23" cm="1">
        <f t="array" aca="1" ref="I30" ca="1">SUMIFS(Quantity!$C31:$AH31,Quantity!$C$7:$AH$7,J$6,Quantity!$C$8:$AH$8,TRUE)</f>
        <v>0</v>
      </c>
      <c r="J30" s="25" cm="1">
        <f t="array" aca="1" ref="J30" ca="1">SUMIFS(CA!$C31:$AQ31,CA!$C$7:$AQ$7,J$6,CA!$C$8:$AQ$8,TRUE)</f>
        <v>0</v>
      </c>
      <c r="K30" s="26" cm="1">
        <f t="array" ref="K30">IF(SUM(Quantity!O31:Z31)=0,"",SUM(Quantity!O31:Z31))</f>
        <v>46</v>
      </c>
      <c r="L30" s="24" cm="1">
        <f t="array" ref="L30">IF(SUM(CA!O31:Z31)=0,"",SUM(CA!O31:Z31))</f>
        <v>17263.599999999999</v>
      </c>
      <c r="M30" s="23" cm="1">
        <f t="array" ref="M30">IF(SUM(Quantity!C31:N31)=0,"",SUM(Quantity!C31:N31))</f>
        <v>64</v>
      </c>
      <c r="N30" s="25" cm="1">
        <f t="array" ref="N30">IF(SUM(CA!C31:N31)=0,"",SUM(CA!C31:N31))</f>
        <v>9617.4</v>
      </c>
    </row>
    <row r="31" spans="1:14" x14ac:dyDescent="0.25">
      <c r="A31" s="1"/>
      <c r="B31" s="22" t="str" cm="1">
        <f t="array" ref="B31">Quantity!B32</f>
        <v>[ADI273-100] ADIAVET™ TOXO FAST TIME</v>
      </c>
      <c r="C31" s="23" cm="1">
        <f t="array" ref="C31">Quantity!O32</f>
        <v>10</v>
      </c>
      <c r="D31" s="24" cm="1">
        <f t="array" ref="D31">CA!O32</f>
        <v>7887</v>
      </c>
      <c r="E31" s="23" cm="1">
        <f t="array" ref="E31">Quantity!C32</f>
        <v>0</v>
      </c>
      <c r="F31" s="25" cm="1">
        <f t="array" ref="F31">CA!C32</f>
        <v>0</v>
      </c>
      <c r="G31" s="26" cm="1">
        <f t="array" aca="1" ref="G31" ca="1">SUMIFS(Quantity!$C32:$AH32,Quantity!$C$7:$AH$7,H$6,Quantity!$C$8:$AH$8,TRUE)</f>
        <v>0</v>
      </c>
      <c r="H31" s="24" cm="1">
        <f t="array" aca="1" ref="H31" ca="1">SUMIFS(CA!$C32:$AQ32,CA!$C$7:$AQ$7,H$6,CA!$C$8:$AQ$8,TRUE)</f>
        <v>0</v>
      </c>
      <c r="I31" s="23" cm="1">
        <f t="array" aca="1" ref="I31" ca="1">SUMIFS(Quantity!$C32:$AH32,Quantity!$C$7:$AH$7,J$6,Quantity!$C$8:$AH$8,TRUE)</f>
        <v>0</v>
      </c>
      <c r="J31" s="25" cm="1">
        <f t="array" aca="1" ref="J31" ca="1">SUMIFS(CA!$C32:$AQ32,CA!$C$7:$AQ$7,J$6,CA!$C$8:$AQ$8,TRUE)</f>
        <v>0</v>
      </c>
      <c r="K31" s="26" cm="1">
        <f t="array" ref="K31">IF(SUM(Quantity!O32:Z32)=0,"",SUM(Quantity!O32:Z32))</f>
        <v>60</v>
      </c>
      <c r="L31" s="24" cm="1">
        <f t="array" ref="L31">IF(SUM(CA!O32:Z32)=0,"",SUM(CA!O32:Z32))</f>
        <v>43735</v>
      </c>
      <c r="M31" s="23" cm="1">
        <f t="array" ref="M31">IF(SUM(Quantity!C32:N32)=0,"",SUM(Quantity!C32:N32))</f>
        <v>50</v>
      </c>
      <c r="N31" s="25" cm="1">
        <f t="array" ref="N31">IF(SUM(CA!C32:N32)=0,"",SUM(CA!C32:N32))</f>
        <v>39435</v>
      </c>
    </row>
    <row r="32" spans="1:14" x14ac:dyDescent="0.25">
      <c r="A32" s="1"/>
      <c r="B32" s="22" t="str" cm="1">
        <f t="array" ref="B32">Quantity!B33</f>
        <v>[ADI282-100] ADIAVET™ SIV REAL TIME</v>
      </c>
      <c r="C32" s="23" cm="1">
        <f t="array" ref="C32">Quantity!O33</f>
        <v>1</v>
      </c>
      <c r="D32" s="24" cm="1">
        <f t="array" ref="D32">CA!O33</f>
        <v>400</v>
      </c>
      <c r="E32" s="23" cm="1">
        <f t="array" ref="E32">Quantity!C33</f>
        <v>1</v>
      </c>
      <c r="F32" s="25" cm="1">
        <f t="array" ref="F32">CA!C33</f>
        <v>400</v>
      </c>
      <c r="G32" s="26" cm="1">
        <f t="array" aca="1" ref="G32" ca="1">SUMIFS(Quantity!$C33:$AH33,Quantity!$C$7:$AH$7,H$6,Quantity!$C$8:$AH$8,TRUE)</f>
        <v>0</v>
      </c>
      <c r="H32" s="24" cm="1">
        <f t="array" aca="1" ref="H32" ca="1">SUMIFS(CA!$C33:$AQ33,CA!$C$7:$AQ$7,H$6,CA!$C$8:$AQ$8,TRUE)</f>
        <v>0</v>
      </c>
      <c r="I32" s="23" cm="1">
        <f t="array" aca="1" ref="I32" ca="1">SUMIFS(Quantity!$C33:$AH33,Quantity!$C$7:$AH$7,J$6,Quantity!$C$8:$AH$8,TRUE)</f>
        <v>0</v>
      </c>
      <c r="J32" s="25" cm="1">
        <f t="array" aca="1" ref="J32" ca="1">SUMIFS(CA!$C33:$AQ33,CA!$C$7:$AQ$7,J$6,CA!$C$8:$AQ$8,TRUE)</f>
        <v>0</v>
      </c>
      <c r="K32" s="26" cm="1">
        <f t="array" ref="K32">IF(SUM(Quantity!O33:Z33)=0,"",SUM(Quantity!O33:Z33))</f>
        <v>5</v>
      </c>
      <c r="L32" s="24" cm="1">
        <f t="array" ref="L32">IF(SUM(CA!O33:Z33)=0,"",SUM(CA!O33:Z33))</f>
        <v>2000</v>
      </c>
      <c r="M32" s="23" cm="1">
        <f t="array" ref="M32">IF(SUM(Quantity!C33:N33)=0,"",SUM(Quantity!C33:N33))</f>
        <v>4</v>
      </c>
      <c r="N32" s="25" cm="1">
        <f t="array" ref="N32">IF(SUM(CA!C33:N33)=0,"",SUM(CA!C33:N33))</f>
        <v>1600</v>
      </c>
    </row>
    <row r="33" spans="1:14" x14ac:dyDescent="0.25">
      <c r="A33" s="1"/>
      <c r="B33" s="22" t="str" cm="1">
        <f t="array" ref="B33">Quantity!B34</f>
        <v>[ADI283-100] ADIAVET™ AIV REAL TIME</v>
      </c>
      <c r="C33" s="23" cm="1">
        <f t="array" ref="C33">Quantity!O34</f>
        <v>7</v>
      </c>
      <c r="D33" s="24" cm="1">
        <f t="array" ref="D33">CA!O34</f>
        <v>2100</v>
      </c>
      <c r="E33" s="23" cm="1">
        <f t="array" ref="E33">Quantity!C34</f>
        <v>0</v>
      </c>
      <c r="F33" s="25" cm="1">
        <f t="array" ref="F33">CA!C34</f>
        <v>0</v>
      </c>
      <c r="G33" s="26" cm="1">
        <f t="array" aca="1" ref="G33" ca="1">SUMIFS(Quantity!$C34:$AH34,Quantity!$C$7:$AH$7,H$6,Quantity!$C$8:$AH$8,TRUE)</f>
        <v>0</v>
      </c>
      <c r="H33" s="24" cm="1">
        <f t="array" aca="1" ref="H33" ca="1">SUMIFS(CA!$C34:$AQ34,CA!$C$7:$AQ$7,H$6,CA!$C$8:$AQ$8,TRUE)</f>
        <v>0</v>
      </c>
      <c r="I33" s="23" cm="1">
        <f t="array" aca="1" ref="I33" ca="1">SUMIFS(Quantity!$C34:$AH34,Quantity!$C$7:$AH$7,J$6,Quantity!$C$8:$AH$8,TRUE)</f>
        <v>0</v>
      </c>
      <c r="J33" s="25" cm="1">
        <f t="array" aca="1" ref="J33" ca="1">SUMIFS(CA!$C34:$AQ34,CA!$C$7:$AQ$7,J$6,CA!$C$8:$AQ$8,TRUE)</f>
        <v>0</v>
      </c>
      <c r="K33" s="26" cm="1">
        <f t="array" ref="K33">IF(SUM(Quantity!O34:Z34)=0,"",SUM(Quantity!O34:Z34))</f>
        <v>12</v>
      </c>
      <c r="L33" s="24" cm="1">
        <f t="array" ref="L33">IF(SUM(CA!O34:Z34)=0,"",SUM(CA!O34:Z34))</f>
        <v>3600</v>
      </c>
      <c r="M33" s="23" cm="1">
        <f t="array" ref="M33">IF(SUM(Quantity!C34:N34)=0,"",SUM(Quantity!C34:N34))</f>
        <v>20</v>
      </c>
      <c r="N33" s="25" cm="1">
        <f t="array" ref="N33">IF(SUM(CA!C34:N34)=0,"",SUM(CA!C34:N34))</f>
        <v>6000</v>
      </c>
    </row>
    <row r="34" spans="1:14" x14ac:dyDescent="0.25">
      <c r="A34" s="1"/>
      <c r="B34" s="22" t="str" cm="1">
        <f t="array" ref="B34">Quantity!B35</f>
        <v xml:space="preserve">[ADI352-100] ADIAVET™ BTV REAL TIME </v>
      </c>
      <c r="C34" s="23" cm="1">
        <f t="array" ref="C34">Quantity!O35</f>
        <v>1</v>
      </c>
      <c r="D34" s="24" cm="1">
        <f t="array" ref="D34">CA!O35</f>
        <v>200</v>
      </c>
      <c r="E34" s="23" cm="1">
        <f t="array" ref="E34">Quantity!C35</f>
        <v>0</v>
      </c>
      <c r="F34" s="25" cm="1">
        <f t="array" ref="F34">CA!C35</f>
        <v>0</v>
      </c>
      <c r="G34" s="26" cm="1">
        <f t="array" aca="1" ref="G34" ca="1">SUMIFS(Quantity!$C35:$AH35,Quantity!$C$7:$AH$7,H$6,Quantity!$C$8:$AH$8,TRUE)</f>
        <v>0</v>
      </c>
      <c r="H34" s="24" cm="1">
        <f t="array" aca="1" ref="H34" ca="1">SUMIFS(CA!$C35:$AQ35,CA!$C$7:$AQ$7,H$6,CA!$C$8:$AQ$8,TRUE)</f>
        <v>0</v>
      </c>
      <c r="I34" s="23" cm="1">
        <f t="array" aca="1" ref="I34" ca="1">SUMIFS(Quantity!$C35:$AH35,Quantity!$C$7:$AH$7,J$6,Quantity!$C$8:$AH$8,TRUE)</f>
        <v>0</v>
      </c>
      <c r="J34" s="25" cm="1">
        <f t="array" aca="1" ref="J34" ca="1">SUMIFS(CA!$C35:$AQ35,CA!$C$7:$AQ$7,J$6,CA!$C$8:$AQ$8,TRUE)</f>
        <v>0</v>
      </c>
      <c r="K34" s="26" cm="1">
        <f t="array" ref="K34">IF(SUM(Quantity!O35:Z35)=0,"",SUM(Quantity!O35:Z35))</f>
        <v>24</v>
      </c>
      <c r="L34" s="24" cm="1">
        <f t="array" ref="L34">IF(SUM(CA!O35:Z35)=0,"",SUM(CA!O35:Z35))</f>
        <v>5300</v>
      </c>
      <c r="M34" s="23" cm="1">
        <f t="array" ref="M34">IF(SUM(Quantity!C35:N35)=0,"",SUM(Quantity!C35:N35))</f>
        <v>21</v>
      </c>
      <c r="N34" s="25" cm="1">
        <f t="array" ref="N34">IF(SUM(CA!C35:N35)=0,"",SUM(CA!C35:N35))</f>
        <v>4200</v>
      </c>
    </row>
    <row r="35" spans="1:14" x14ac:dyDescent="0.25">
      <c r="A35" s="1"/>
      <c r="B35" s="22" t="str" cm="1">
        <f t="array" ref="B35">Quantity!B36</f>
        <v xml:space="preserve">[ADI352-500] ADIAVET™ BTV REAL TIME </v>
      </c>
      <c r="C35" s="23" cm="1">
        <f t="array" ref="C35">Quantity!O36</f>
        <v>2</v>
      </c>
      <c r="D35" s="24" cm="1">
        <f t="array" ref="D35">CA!O36</f>
        <v>1800</v>
      </c>
      <c r="E35" s="23" cm="1">
        <f t="array" ref="E35">Quantity!C36</f>
        <v>1</v>
      </c>
      <c r="F35" s="25" cm="1">
        <f t="array" ref="F35">CA!C36</f>
        <v>900</v>
      </c>
      <c r="G35" s="26" cm="1">
        <f t="array" aca="1" ref="G35" ca="1">SUMIFS(Quantity!$C36:$AH36,Quantity!$C$7:$AH$7,H$6,Quantity!$C$8:$AH$8,TRUE)</f>
        <v>0</v>
      </c>
      <c r="H35" s="24" cm="1">
        <f t="array" aca="1" ref="H35" ca="1">SUMIFS(CA!$C36:$AQ36,CA!$C$7:$AQ$7,H$6,CA!$C$8:$AQ$8,TRUE)</f>
        <v>0</v>
      </c>
      <c r="I35" s="23" cm="1">
        <f t="array" aca="1" ref="I35" ca="1">SUMIFS(Quantity!$C36:$AH36,Quantity!$C$7:$AH$7,J$6,Quantity!$C$8:$AH$8,TRUE)</f>
        <v>0</v>
      </c>
      <c r="J35" s="25" cm="1">
        <f t="array" aca="1" ref="J35" ca="1">SUMIFS(CA!$C36:$AQ36,CA!$C$7:$AQ$7,J$6,CA!$C$8:$AQ$8,TRUE)</f>
        <v>0</v>
      </c>
      <c r="K35" s="26" cm="1">
        <f t="array" ref="K35">IF(SUM(Quantity!O36:Z36)=0,"",SUM(Quantity!O36:Z36))</f>
        <v>5</v>
      </c>
      <c r="L35" s="24" cm="1">
        <f t="array" ref="L35">IF(SUM(CA!O36:Z36)=0,"",SUM(CA!O36:Z36))</f>
        <v>4500</v>
      </c>
      <c r="M35" s="23" cm="1">
        <f t="array" ref="M35">IF(SUM(Quantity!C36:N36)=0,"",SUM(Quantity!C36:N36))</f>
        <v>18</v>
      </c>
      <c r="N35" s="25" cm="1">
        <f t="array" ref="N35">IF(SUM(CA!C36:N36)=0,"",SUM(CA!C36:N36))</f>
        <v>16200</v>
      </c>
    </row>
    <row r="36" spans="1:14" x14ac:dyDescent="0.25">
      <c r="A36" s="1"/>
      <c r="B36" s="22" t="str" cm="1">
        <f t="array" ref="B36">Quantity!B37</f>
        <v>[ADI381-100] ADIAVET™ BTV TYPE 8 REAL TIME</v>
      </c>
      <c r="C36" s="23" cm="1">
        <f t="array" ref="C36">Quantity!O37</f>
        <v>0</v>
      </c>
      <c r="D36" s="24" cm="1">
        <f t="array" ref="D36">CA!O37</f>
        <v>0</v>
      </c>
      <c r="E36" s="23" cm="1">
        <f t="array" ref="E36">Quantity!C37</f>
        <v>0</v>
      </c>
      <c r="F36" s="25" cm="1">
        <f t="array" ref="F36">CA!C37</f>
        <v>0</v>
      </c>
      <c r="G36" s="26" cm="1">
        <f t="array" aca="1" ref="G36" ca="1">SUMIFS(Quantity!$C37:$AH37,Quantity!$C$7:$AH$7,H$6,Quantity!$C$8:$AH$8,TRUE)</f>
        <v>0</v>
      </c>
      <c r="H36" s="24" cm="1">
        <f t="array" aca="1" ref="H36" ca="1">SUMIFS(CA!$C37:$AQ37,CA!$C$7:$AQ$7,H$6,CA!$C$8:$AQ$8,TRUE)</f>
        <v>0</v>
      </c>
      <c r="I36" s="23" cm="1">
        <f t="array" aca="1" ref="I36" ca="1">SUMIFS(Quantity!$C37:$AH37,Quantity!$C$7:$AH$7,J$6,Quantity!$C$8:$AH$8,TRUE)</f>
        <v>0</v>
      </c>
      <c r="J36" s="25" cm="1">
        <f t="array" aca="1" ref="J36" ca="1">SUMIFS(CA!$C37:$AQ37,CA!$C$7:$AQ$7,J$6,CA!$C$8:$AQ$8,TRUE)</f>
        <v>0</v>
      </c>
      <c r="K36" s="26" cm="1">
        <f t="array" ref="K36">IF(SUM(Quantity!O37:Z37)=0,"",SUM(Quantity!O37:Z37))</f>
        <v>4</v>
      </c>
      <c r="L36" s="24" cm="1">
        <f t="array" ref="L36">IF(SUM(CA!O37:Z37)=0,"",SUM(CA!O37:Z37))</f>
        <v>960</v>
      </c>
      <c r="M36" s="23" cm="1">
        <f t="array" ref="M36">IF(SUM(Quantity!C37:N37)=0,"",SUM(Quantity!C37:N37))</f>
        <v>20</v>
      </c>
      <c r="N36" s="25" cm="1">
        <f t="array" ref="N36">IF(SUM(CA!C37:N37)=0,"",SUM(CA!C37:N37))</f>
        <v>4800</v>
      </c>
    </row>
    <row r="37" spans="1:14" x14ac:dyDescent="0.25">
      <c r="A37" s="1"/>
      <c r="B37" s="22" t="str" cm="1">
        <f t="array" ref="B37">Quantity!B38</f>
        <v xml:space="preserve">[ADI381-50] ADIAVET™ BTV TYPE 8 REAL TIME </v>
      </c>
      <c r="C37" s="23" cm="1">
        <f t="array" ref="C37">Quantity!O38</f>
        <v>0</v>
      </c>
      <c r="D37" s="24" cm="1">
        <f t="array" ref="D37">CA!O38</f>
        <v>0</v>
      </c>
      <c r="E37" s="23" cm="1">
        <f t="array" ref="E37">Quantity!C38</f>
        <v>0</v>
      </c>
      <c r="F37" s="25" cm="1">
        <f t="array" ref="F37">CA!C38</f>
        <v>0</v>
      </c>
      <c r="G37" s="26" cm="1">
        <f t="array" aca="1" ref="G37" ca="1">SUMIFS(Quantity!$C38:$AH38,Quantity!$C$7:$AH$7,H$6,Quantity!$C$8:$AH$8,TRUE)</f>
        <v>0</v>
      </c>
      <c r="H37" s="24" cm="1">
        <f t="array" aca="1" ref="H37" ca="1">SUMIFS(CA!$C38:$AQ38,CA!$C$7:$AQ$7,H$6,CA!$C$8:$AQ$8,TRUE)</f>
        <v>0</v>
      </c>
      <c r="I37" s="23" cm="1">
        <f t="array" aca="1" ref="I37" ca="1">SUMIFS(Quantity!$C38:$AH38,Quantity!$C$7:$AH$7,J$6,Quantity!$C$8:$AH$8,TRUE)</f>
        <v>0</v>
      </c>
      <c r="J37" s="25" cm="1">
        <f t="array" aca="1" ref="J37" ca="1">SUMIFS(CA!$C38:$AQ38,CA!$C$7:$AQ$7,J$6,CA!$C$8:$AQ$8,TRUE)</f>
        <v>0</v>
      </c>
      <c r="K37" s="26" cm="1">
        <f t="array" ref="K37">IF(SUM(Quantity!O38:Z38)=0,"",SUM(Quantity!O38:Z38))</f>
        <v>3</v>
      </c>
      <c r="L37" s="24" cm="1">
        <f t="array" ref="L37">IF(SUM(CA!O38:Z38)=0,"",SUM(CA!O38:Z38))</f>
        <v>540</v>
      </c>
      <c r="M37" s="23" t="str" cm="1">
        <f t="array" ref="M37">IF(SUM(Quantity!C38:N38)=0,"",SUM(Quantity!C38:N38))</f>
        <v/>
      </c>
      <c r="N37" s="25" t="str" cm="1">
        <f t="array" ref="N37">IF(SUM(CA!C38:N38)=0,"",SUM(CA!C38:N38))</f>
        <v/>
      </c>
    </row>
    <row r="38" spans="1:14" x14ac:dyDescent="0.25">
      <c r="A38" s="1"/>
      <c r="B38" s="22" t="str" cm="1">
        <f t="array" ref="B38">Quantity!B39</f>
        <v xml:space="preserve">[ADI451-100] ADIAVET™ BESNOITIA REAL TIME </v>
      </c>
      <c r="C38" s="23" cm="1">
        <f t="array" ref="C38">Quantity!O39</f>
        <v>0</v>
      </c>
      <c r="D38" s="24" cm="1">
        <f t="array" ref="D38">CA!O39</f>
        <v>0</v>
      </c>
      <c r="E38" s="23" cm="1">
        <f t="array" ref="E38">Quantity!C39</f>
        <v>0</v>
      </c>
      <c r="F38" s="25" cm="1">
        <f t="array" ref="F38">CA!C39</f>
        <v>0</v>
      </c>
      <c r="G38" s="26" cm="1">
        <f t="array" aca="1" ref="G38" ca="1">SUMIFS(Quantity!$C39:$AH39,Quantity!$C$7:$AH$7,H$6,Quantity!$C$8:$AH$8,TRUE)</f>
        <v>0</v>
      </c>
      <c r="H38" s="24" cm="1">
        <f t="array" aca="1" ref="H38" ca="1">SUMIFS(CA!$C39:$AQ39,CA!$C$7:$AQ$7,H$6,CA!$C$8:$AQ$8,TRUE)</f>
        <v>0</v>
      </c>
      <c r="I38" s="23" cm="1">
        <f t="array" aca="1" ref="I38" ca="1">SUMIFS(Quantity!$C39:$AH39,Quantity!$C$7:$AH$7,J$6,Quantity!$C$8:$AH$8,TRUE)</f>
        <v>0</v>
      </c>
      <c r="J38" s="25" cm="1">
        <f t="array" aca="1" ref="J38" ca="1">SUMIFS(CA!$C39:$AQ39,CA!$C$7:$AQ$7,J$6,CA!$C$8:$AQ$8,TRUE)</f>
        <v>0</v>
      </c>
      <c r="K38" s="26" t="str" cm="1">
        <f t="array" ref="K38">IF(SUM(Quantity!O39:Z39)=0,"",SUM(Quantity!O39:Z39))</f>
        <v/>
      </c>
      <c r="L38" s="24" t="str" cm="1">
        <f t="array" ref="L38">IF(SUM(CA!O39:Z39)=0,"",SUM(CA!O39:Z39))</f>
        <v/>
      </c>
      <c r="M38" s="23" t="str" cm="1">
        <f t="array" ref="M38">IF(SUM(Quantity!C39:N39)=0,"",SUM(Quantity!C39:N39))</f>
        <v/>
      </c>
      <c r="N38" s="25" t="str" cm="1">
        <f t="array" ref="N38">IF(SUM(CA!C39:N39)=0,"",SUM(CA!C39:N39))</f>
        <v/>
      </c>
    </row>
    <row r="39" spans="1:14" x14ac:dyDescent="0.25">
      <c r="A39" s="1"/>
      <c r="B39" s="22" t="str" cm="1">
        <f t="array" ref="B39">Quantity!B40</f>
        <v>[ADI471-100] ADIAVET WEST NILE REAL TIME 100R (historique)</v>
      </c>
      <c r="C39" s="23" cm="1">
        <f t="array" ref="C39">Quantity!O40</f>
        <v>0</v>
      </c>
      <c r="D39" s="24" cm="1">
        <f t="array" ref="D39">CA!O40</f>
        <v>0</v>
      </c>
      <c r="E39" s="23" cm="1">
        <f t="array" ref="E39">Quantity!C40</f>
        <v>0</v>
      </c>
      <c r="F39" s="25" cm="1">
        <f t="array" ref="F39">CA!C40</f>
        <v>0</v>
      </c>
      <c r="G39" s="26" cm="1">
        <f t="array" aca="1" ref="G39" ca="1">SUMIFS(Quantity!$C40:$AH40,Quantity!$C$7:$AH$7,H$6,Quantity!$C$8:$AH$8,TRUE)</f>
        <v>0</v>
      </c>
      <c r="H39" s="24" cm="1">
        <f t="array" aca="1" ref="H39" ca="1">SUMIFS(CA!$C40:$AQ40,CA!$C$7:$AQ$7,H$6,CA!$C$8:$AQ$8,TRUE)</f>
        <v>0</v>
      </c>
      <c r="I39" s="23" cm="1">
        <f t="array" aca="1" ref="I39" ca="1">SUMIFS(Quantity!$C40:$AH40,Quantity!$C$7:$AH$7,J$6,Quantity!$C$8:$AH$8,TRUE)</f>
        <v>0</v>
      </c>
      <c r="J39" s="25" cm="1">
        <f t="array" aca="1" ref="J39" ca="1">SUMIFS(CA!$C40:$AQ40,CA!$C$7:$AQ$7,J$6,CA!$C$8:$AQ$8,TRUE)</f>
        <v>0</v>
      </c>
      <c r="K39" s="26" t="str" cm="1">
        <f t="array" ref="K39">IF(SUM(Quantity!O40:Z40)=0,"",SUM(Quantity!O40:Z40))</f>
        <v/>
      </c>
      <c r="L39" s="24" t="str" cm="1">
        <f t="array" ref="L39">IF(SUM(CA!O40:Z40)=0,"",SUM(CA!O40:Z40))</f>
        <v/>
      </c>
      <c r="M39" s="23" t="str" cm="1">
        <f t="array" ref="M39">IF(SUM(Quantity!C40:N40)=0,"",SUM(Quantity!C40:N40))</f>
        <v/>
      </c>
      <c r="N39" s="25" t="str" cm="1">
        <f t="array" ref="N39">IF(SUM(CA!C40:N40)=0,"",SUM(CA!C40:N40))</f>
        <v/>
      </c>
    </row>
    <row r="40" spans="1:14" x14ac:dyDescent="0.25">
      <c r="A40" s="1"/>
      <c r="B40" s="22" t="str" cm="1">
        <f t="array" ref="B40">Quantity!B41</f>
        <v xml:space="preserve">[ADI481-100] ADIAVET™ BoHV-4 REAL TIME </v>
      </c>
      <c r="C40" s="23" cm="1">
        <f t="array" ref="C40">Quantity!O41</f>
        <v>0</v>
      </c>
      <c r="D40" s="24" cm="1">
        <f t="array" ref="D40">CA!O41</f>
        <v>0</v>
      </c>
      <c r="E40" s="23" cm="1">
        <f t="array" ref="E40">Quantity!C41</f>
        <v>0</v>
      </c>
      <c r="F40" s="25" cm="1">
        <f t="array" ref="F40">CA!C41</f>
        <v>0</v>
      </c>
      <c r="G40" s="26" cm="1">
        <f t="array" aca="1" ref="G40" ca="1">SUMIFS(Quantity!$C41:$AH41,Quantity!$C$7:$AH$7,H$6,Quantity!$C$8:$AH$8,TRUE)</f>
        <v>0</v>
      </c>
      <c r="H40" s="24" cm="1">
        <f t="array" aca="1" ref="H40" ca="1">SUMIFS(CA!$C41:$AQ41,CA!$C$7:$AQ$7,H$6,CA!$C$8:$AQ$8,TRUE)</f>
        <v>0</v>
      </c>
      <c r="I40" s="23" cm="1">
        <f t="array" aca="1" ref="I40" ca="1">SUMIFS(Quantity!$C41:$AH41,Quantity!$C$7:$AH$7,J$6,Quantity!$C$8:$AH$8,TRUE)</f>
        <v>0</v>
      </c>
      <c r="J40" s="25" cm="1">
        <f t="array" aca="1" ref="J40" ca="1">SUMIFS(CA!$C41:$AQ41,CA!$C$7:$AQ$7,J$6,CA!$C$8:$AQ$8,TRUE)</f>
        <v>0</v>
      </c>
      <c r="K40" s="26" t="str" cm="1">
        <f t="array" ref="K40">IF(SUM(Quantity!O41:Z41)=0,"",SUM(Quantity!O41:Z41))</f>
        <v/>
      </c>
      <c r="L40" s="24" t="str" cm="1">
        <f t="array" ref="L40">IF(SUM(CA!O41:Z41)=0,"",SUM(CA!O41:Z41))</f>
        <v/>
      </c>
      <c r="M40" s="23" cm="1">
        <f t="array" ref="M40">IF(SUM(Quantity!C41:N41)=0,"",SUM(Quantity!C41:N41))</f>
        <v>6</v>
      </c>
      <c r="N40" s="25" cm="1">
        <f t="array" ref="N40">IF(SUM(CA!C41:N41)=0,"",SUM(CA!C41:N41))</f>
        <v>3300</v>
      </c>
    </row>
    <row r="41" spans="1:14" x14ac:dyDescent="0.25">
      <c r="A41" s="1"/>
      <c r="B41" s="22" t="str" cm="1">
        <f t="array" ref="B41">Quantity!B42</f>
        <v>[ADI491-100] ADIAVET™ SCHMALLENBERG REAL TIME</v>
      </c>
      <c r="C41" s="23" cm="1">
        <f t="array" ref="C41">Quantity!O42</f>
        <v>0</v>
      </c>
      <c r="D41" s="24" cm="1">
        <f t="array" ref="D41">CA!O42</f>
        <v>0</v>
      </c>
      <c r="E41" s="23" cm="1">
        <f t="array" ref="E41">Quantity!C42</f>
        <v>0</v>
      </c>
      <c r="F41" s="25" cm="1">
        <f t="array" ref="F41">CA!C42</f>
        <v>0</v>
      </c>
      <c r="G41" s="26" cm="1">
        <f t="array" aca="1" ref="G41" ca="1">SUMIFS(Quantity!$C42:$AH42,Quantity!$C$7:$AH$7,H$6,Quantity!$C$8:$AH$8,TRUE)</f>
        <v>0</v>
      </c>
      <c r="H41" s="24" cm="1">
        <f t="array" aca="1" ref="H41" ca="1">SUMIFS(CA!$C42:$AQ42,CA!$C$7:$AQ$7,H$6,CA!$C$8:$AQ$8,TRUE)</f>
        <v>0</v>
      </c>
      <c r="I41" s="23" cm="1">
        <f t="array" aca="1" ref="I41" ca="1">SUMIFS(Quantity!$C42:$AH42,Quantity!$C$7:$AH$7,J$6,Quantity!$C$8:$AH$8,TRUE)</f>
        <v>0</v>
      </c>
      <c r="J41" s="25" cm="1">
        <f t="array" aca="1" ref="J41" ca="1">SUMIFS(CA!$C42:$AQ42,CA!$C$7:$AQ$7,J$6,CA!$C$8:$AQ$8,TRUE)</f>
        <v>0</v>
      </c>
      <c r="K41" s="26" cm="1">
        <f t="array" ref="K41">IF(SUM(Quantity!O42:Z42)=0,"",SUM(Quantity!O42:Z42))</f>
        <v>1</v>
      </c>
      <c r="L41" s="24" cm="1">
        <f t="array" ref="L41">IF(SUM(CA!O42:Z42)=0,"",SUM(CA!O42:Z42))</f>
        <v>450</v>
      </c>
      <c r="M41" s="23" cm="1">
        <f t="array" ref="M41">IF(SUM(Quantity!C42:N42)=0,"",SUM(Quantity!C42:N42))</f>
        <v>2</v>
      </c>
      <c r="N41" s="25" cm="1">
        <f t="array" ref="N41">IF(SUM(CA!C42:N42)=0,"",SUM(CA!C42:N42))</f>
        <v>900</v>
      </c>
    </row>
    <row r="42" spans="1:14" x14ac:dyDescent="0.25">
      <c r="A42" s="1"/>
      <c r="B42" s="22" t="str" cm="1">
        <f t="array" ref="B42">Quantity!B43</f>
        <v>[ADI501-100] ADIAVET™ CEMO TAYLORELLA REAL TIME</v>
      </c>
      <c r="C42" s="23" cm="1">
        <f t="array" ref="C42">Quantity!O43</f>
        <v>8</v>
      </c>
      <c r="D42" s="24" cm="1">
        <f t="array" ref="D42">CA!O43</f>
        <v>4526.1000000000004</v>
      </c>
      <c r="E42" s="23" cm="1">
        <f t="array" ref="E42">Quantity!C43</f>
        <v>3</v>
      </c>
      <c r="F42" s="25" cm="1">
        <f t="array" ref="F42">CA!C43</f>
        <v>2343.6</v>
      </c>
      <c r="G42" s="26" cm="1">
        <f t="array" aca="1" ref="G42" ca="1">SUMIFS(Quantity!$C43:$AH43,Quantity!$C$7:$AH$7,H$6,Quantity!$C$8:$AH$8,TRUE)</f>
        <v>0</v>
      </c>
      <c r="H42" s="24" cm="1">
        <f t="array" aca="1" ref="H42" ca="1">SUMIFS(CA!$C43:$AQ43,CA!$C$7:$AQ$7,H$6,CA!$C$8:$AQ$8,TRUE)</f>
        <v>0</v>
      </c>
      <c r="I42" s="23" cm="1">
        <f t="array" aca="1" ref="I42" ca="1">SUMIFS(Quantity!$C43:$AH43,Quantity!$C$7:$AH$7,J$6,Quantity!$C$8:$AH$8,TRUE)</f>
        <v>0</v>
      </c>
      <c r="J42" s="25" cm="1">
        <f t="array" aca="1" ref="J42" ca="1">SUMIFS(CA!$C43:$AQ43,CA!$C$7:$AQ$7,J$6,CA!$C$8:$AQ$8,TRUE)</f>
        <v>0</v>
      </c>
      <c r="K42" s="26" cm="1">
        <f t="array" ref="K42">IF(SUM(Quantity!O43:Z43)=0,"",SUM(Quantity!O43:Z43))</f>
        <v>148</v>
      </c>
      <c r="L42" s="24" cm="1">
        <f t="array" ref="L42">IF(SUM(CA!O43:Z43)=0,"",SUM(CA!O43:Z43))</f>
        <v>74052.3</v>
      </c>
      <c r="M42" s="23" cm="1">
        <f t="array" ref="M42">IF(SUM(Quantity!C43:N43)=0,"",SUM(Quantity!C43:N43))</f>
        <v>29</v>
      </c>
      <c r="N42" s="25" cm="1">
        <f t="array" ref="N42">IF(SUM(CA!C43:N43)=0,"",SUM(CA!C43:N43))</f>
        <v>20526.3</v>
      </c>
    </row>
    <row r="43" spans="1:14" x14ac:dyDescent="0.25">
      <c r="A43" s="1"/>
      <c r="B43" s="22" t="str" cm="1">
        <f t="array" ref="B43">Quantity!B44</f>
        <v>[ADI511-100] ADIAVET™ CEMO KLEB/PSEUDO REAL TIME</v>
      </c>
      <c r="C43" s="23" cm="1">
        <f t="array" ref="C43">Quantity!O44</f>
        <v>0</v>
      </c>
      <c r="D43" s="24" cm="1">
        <f t="array" ref="D43">CA!O44</f>
        <v>0</v>
      </c>
      <c r="E43" s="23" cm="1">
        <f t="array" ref="E43">Quantity!C44</f>
        <v>0</v>
      </c>
      <c r="F43" s="25" cm="1">
        <f t="array" ref="F43">CA!C44</f>
        <v>0</v>
      </c>
      <c r="G43" s="26" cm="1">
        <f t="array" aca="1" ref="G43" ca="1">SUMIFS(Quantity!$C44:$AH44,Quantity!$C$7:$AH$7,H$6,Quantity!$C$8:$AH$8,TRUE)</f>
        <v>0</v>
      </c>
      <c r="H43" s="24" cm="1">
        <f t="array" aca="1" ref="H43" ca="1">SUMIFS(CA!$C44:$AQ44,CA!$C$7:$AQ$7,H$6,CA!$C$8:$AQ$8,TRUE)</f>
        <v>0</v>
      </c>
      <c r="I43" s="23" cm="1">
        <f t="array" aca="1" ref="I43" ca="1">SUMIFS(Quantity!$C44:$AH44,Quantity!$C$7:$AH$7,J$6,Quantity!$C$8:$AH$8,TRUE)</f>
        <v>0</v>
      </c>
      <c r="J43" s="25" cm="1">
        <f t="array" aca="1" ref="J43" ca="1">SUMIFS(CA!$C44:$AQ44,CA!$C$7:$AQ$7,J$6,CA!$C$8:$AQ$8,TRUE)</f>
        <v>0</v>
      </c>
      <c r="K43" s="26" cm="1">
        <f t="array" ref="K43">IF(SUM(Quantity!O44:Z44)=0,"",SUM(Quantity!O44:Z44))</f>
        <v>84</v>
      </c>
      <c r="L43" s="24" cm="1">
        <f t="array" ref="L43">IF(SUM(CA!O44:Z44)=0,"",SUM(CA!O44:Z44))</f>
        <v>37800</v>
      </c>
      <c r="M43" s="23" cm="1">
        <f t="array" ref="M43">IF(SUM(Quantity!C44:N44)=0,"",SUM(Quantity!C44:N44))</f>
        <v>3</v>
      </c>
      <c r="N43" s="25" cm="1">
        <f t="array" ref="N43">IF(SUM(CA!C44:N44)=0,"",SUM(CA!C44:N44))</f>
        <v>1350</v>
      </c>
    </row>
    <row r="44" spans="1:14" x14ac:dyDescent="0.25">
      <c r="A44" s="1"/>
      <c r="B44" s="22" t="str" cm="1">
        <f t="array" ref="B44">Quantity!B45</f>
        <v xml:space="preserve">[ADI531-100] ADIAVET™ AIV H5-H7 REAL TIME </v>
      </c>
      <c r="C44" s="23" cm="1">
        <f t="array" ref="C44">Quantity!O45</f>
        <v>2</v>
      </c>
      <c r="D44" s="24" cm="1">
        <f t="array" ref="D44">CA!O45</f>
        <v>700</v>
      </c>
      <c r="E44" s="23" cm="1">
        <f t="array" ref="E44">Quantity!C45</f>
        <v>0</v>
      </c>
      <c r="F44" s="25" cm="1">
        <f t="array" ref="F44">CA!C45</f>
        <v>0</v>
      </c>
      <c r="G44" s="26" cm="1">
        <f t="array" aca="1" ref="G44" ca="1">SUMIFS(Quantity!$C45:$AH45,Quantity!$C$7:$AH$7,H$6,Quantity!$C$8:$AH$8,TRUE)</f>
        <v>0</v>
      </c>
      <c r="H44" s="24" cm="1">
        <f t="array" aca="1" ref="H44" ca="1">SUMIFS(CA!$C45:$AQ45,CA!$C$7:$AQ$7,H$6,CA!$C$8:$AQ$8,TRUE)</f>
        <v>0</v>
      </c>
      <c r="I44" s="23" cm="1">
        <f t="array" aca="1" ref="I44" ca="1">SUMIFS(Quantity!$C45:$AH45,Quantity!$C$7:$AH$7,J$6,Quantity!$C$8:$AH$8,TRUE)</f>
        <v>0</v>
      </c>
      <c r="J44" s="25" cm="1">
        <f t="array" aca="1" ref="J44" ca="1">SUMIFS(CA!$C45:$AQ45,CA!$C$7:$AQ$7,J$6,CA!$C$8:$AQ$8,TRUE)</f>
        <v>0</v>
      </c>
      <c r="K44" s="26" cm="1">
        <f t="array" ref="K44">IF(SUM(Quantity!O45:Z45)=0,"",SUM(Quantity!O45:Z45))</f>
        <v>4</v>
      </c>
      <c r="L44" s="24" cm="1">
        <f t="array" ref="L44">IF(SUM(CA!O45:Z45)=0,"",SUM(CA!O45:Z45))</f>
        <v>1400</v>
      </c>
      <c r="M44" s="23" cm="1">
        <f t="array" ref="M44">IF(SUM(Quantity!C45:N45)=0,"",SUM(Quantity!C45:N45))</f>
        <v>9</v>
      </c>
      <c r="N44" s="25" cm="1">
        <f t="array" ref="N44">IF(SUM(CA!C45:N45)=0,"",SUM(CA!C45:N45))</f>
        <v>3150</v>
      </c>
    </row>
    <row r="45" spans="1:14" x14ac:dyDescent="0.25">
      <c r="A45" s="1"/>
      <c r="B45" s="22" t="str" cm="1">
        <f t="array" ref="B45">Quantity!B46</f>
        <v xml:space="preserve">[ADI541-50] ADIAVET™ BTV TYPE 4 REAL TIME </v>
      </c>
      <c r="C45" s="23" cm="1">
        <f t="array" ref="C45">Quantity!O46</f>
        <v>0</v>
      </c>
      <c r="D45" s="24" cm="1">
        <f t="array" ref="D45">CA!O46</f>
        <v>0</v>
      </c>
      <c r="E45" s="23" cm="1">
        <f t="array" ref="E45">Quantity!C46</f>
        <v>0</v>
      </c>
      <c r="F45" s="25" cm="1">
        <f t="array" ref="F45">CA!C46</f>
        <v>0</v>
      </c>
      <c r="G45" s="26" cm="1">
        <f t="array" aca="1" ref="G45" ca="1">SUMIFS(Quantity!$C46:$AH46,Quantity!$C$7:$AH$7,H$6,Quantity!$C$8:$AH$8,TRUE)</f>
        <v>0</v>
      </c>
      <c r="H45" s="24" cm="1">
        <f t="array" aca="1" ref="H45" ca="1">SUMIFS(CA!$C46:$AQ46,CA!$C$7:$AQ$7,H$6,CA!$C$8:$AQ$8,TRUE)</f>
        <v>0</v>
      </c>
      <c r="I45" s="23" cm="1">
        <f t="array" aca="1" ref="I45" ca="1">SUMIFS(Quantity!$C46:$AH46,Quantity!$C$7:$AH$7,J$6,Quantity!$C$8:$AH$8,TRUE)</f>
        <v>0</v>
      </c>
      <c r="J45" s="25" cm="1">
        <f t="array" aca="1" ref="J45" ca="1">SUMIFS(CA!$C46:$AQ46,CA!$C$7:$AQ$7,J$6,CA!$C$8:$AQ$8,TRUE)</f>
        <v>0</v>
      </c>
      <c r="K45" s="26" t="str" cm="1">
        <f t="array" ref="K45">IF(SUM(Quantity!O46:Z46)=0,"",SUM(Quantity!O46:Z46))</f>
        <v/>
      </c>
      <c r="L45" s="24" t="str" cm="1">
        <f t="array" ref="L45">IF(SUM(CA!O46:Z46)=0,"",SUM(CA!O46:Z46))</f>
        <v/>
      </c>
      <c r="M45" s="23" t="str" cm="1">
        <f t="array" ref="M45">IF(SUM(Quantity!C46:N46)=0,"",SUM(Quantity!C46:N46))</f>
        <v/>
      </c>
      <c r="N45" s="25" t="str" cm="1">
        <f t="array" ref="N45">IF(SUM(CA!C46:N46)=0,"",SUM(CA!C46:N46))</f>
        <v/>
      </c>
    </row>
    <row r="46" spans="1:14" x14ac:dyDescent="0.25">
      <c r="A46" s="1"/>
      <c r="B46" s="22" t="str" cm="1">
        <f t="array" ref="B46">Quantity!B47</f>
        <v>[ADI551-100] ADIAVET™ ASFV FAST TIME</v>
      </c>
      <c r="C46" s="23" cm="1">
        <f t="array" ref="C46">Quantity!O47</f>
        <v>0</v>
      </c>
      <c r="D46" s="24" cm="1">
        <f t="array" ref="D46">CA!O47</f>
        <v>0</v>
      </c>
      <c r="E46" s="23" cm="1">
        <f t="array" ref="E46">Quantity!C47</f>
        <v>0</v>
      </c>
      <c r="F46" s="25" cm="1">
        <f t="array" ref="F46">CA!C47</f>
        <v>0</v>
      </c>
      <c r="G46" s="26" cm="1">
        <f t="array" aca="1" ref="G46" ca="1">SUMIFS(Quantity!$C47:$AH47,Quantity!$C$7:$AH$7,H$6,Quantity!$C$8:$AH$8,TRUE)</f>
        <v>0</v>
      </c>
      <c r="H46" s="24" cm="1">
        <f t="array" aca="1" ref="H46" ca="1">SUMIFS(CA!$C47:$AQ47,CA!$C$7:$AQ$7,H$6,CA!$C$8:$AQ$8,TRUE)</f>
        <v>0</v>
      </c>
      <c r="I46" s="23" cm="1">
        <f t="array" aca="1" ref="I46" ca="1">SUMIFS(Quantity!$C47:$AH47,Quantity!$C$7:$AH$7,J$6,Quantity!$C$8:$AH$8,TRUE)</f>
        <v>0</v>
      </c>
      <c r="J46" s="25" cm="1">
        <f t="array" aca="1" ref="J46" ca="1">SUMIFS(CA!$C47:$AQ47,CA!$C$7:$AQ$7,J$6,CA!$C$8:$AQ$8,TRUE)</f>
        <v>0</v>
      </c>
      <c r="K46" s="26" t="str" cm="1">
        <f t="array" ref="K46">IF(SUM(Quantity!O47:Z47)=0,"",SUM(Quantity!O47:Z47))</f>
        <v/>
      </c>
      <c r="L46" s="24" t="str" cm="1">
        <f t="array" ref="L46">IF(SUM(CA!O47:Z47)=0,"",SUM(CA!O47:Z47))</f>
        <v/>
      </c>
      <c r="M46" s="23" t="str" cm="1">
        <f t="array" ref="M46">IF(SUM(Quantity!C47:N47)=0,"",SUM(Quantity!C47:N47))</f>
        <v/>
      </c>
      <c r="N46" s="25" t="str" cm="1">
        <f t="array" ref="N46">IF(SUM(CA!C47:N47)=0,"",SUM(CA!C47:N47))</f>
        <v/>
      </c>
    </row>
    <row r="47" spans="1:14" x14ac:dyDescent="0.25">
      <c r="A47" s="1"/>
      <c r="B47" s="22" t="str" cm="1">
        <f t="array" ref="B47">Quantity!B48</f>
        <v>[ADI561-100] ADIAVET™ MS-H DIVA FAST TIME</v>
      </c>
      <c r="C47" s="23" cm="1">
        <f t="array" ref="C47">Quantity!O48</f>
        <v>0</v>
      </c>
      <c r="D47" s="24" cm="1">
        <f t="array" ref="D47">CA!O48</f>
        <v>0</v>
      </c>
      <c r="E47" s="23" cm="1">
        <f t="array" ref="E47">Quantity!C48</f>
        <v>1</v>
      </c>
      <c r="F47" s="25" cm="1">
        <f t="array" ref="F47">CA!C48</f>
        <v>500</v>
      </c>
      <c r="G47" s="26" cm="1">
        <f t="array" aca="1" ref="G47" ca="1">SUMIFS(Quantity!$C48:$AH48,Quantity!$C$7:$AH$7,H$6,Quantity!$C$8:$AH$8,TRUE)</f>
        <v>0</v>
      </c>
      <c r="H47" s="24" cm="1">
        <f t="array" aca="1" ref="H47" ca="1">SUMIFS(CA!$C48:$AQ48,CA!$C$7:$AQ$7,H$6,CA!$C$8:$AQ$8,TRUE)</f>
        <v>0</v>
      </c>
      <c r="I47" s="23" cm="1">
        <f t="array" aca="1" ref="I47" ca="1">SUMIFS(Quantity!$C48:$AH48,Quantity!$C$7:$AH$7,J$6,Quantity!$C$8:$AH$8,TRUE)</f>
        <v>0</v>
      </c>
      <c r="J47" s="25" cm="1">
        <f t="array" aca="1" ref="J47" ca="1">SUMIFS(CA!$C48:$AQ48,CA!$C$7:$AQ$7,J$6,CA!$C$8:$AQ$8,TRUE)</f>
        <v>0</v>
      </c>
      <c r="K47" s="26" cm="1">
        <f t="array" ref="K47">IF(SUM(Quantity!O48:Z48)=0,"",SUM(Quantity!O48:Z48))</f>
        <v>1</v>
      </c>
      <c r="L47" s="24" cm="1">
        <f t="array" ref="L47">IF(SUM(CA!O48:Z48)=0,"",SUM(CA!O48:Z48))</f>
        <v>500</v>
      </c>
      <c r="M47" s="23" cm="1">
        <f t="array" ref="M47">IF(SUM(Quantity!C48:N48)=0,"",SUM(Quantity!C48:N48))</f>
        <v>1</v>
      </c>
      <c r="N47" s="25" cm="1">
        <f t="array" ref="N47">IF(SUM(CA!C48:N48)=0,"",SUM(CA!C48:N48))</f>
        <v>500</v>
      </c>
    </row>
    <row r="48" spans="1:14" x14ac:dyDescent="0.25">
      <c r="A48" s="1"/>
      <c r="B48" s="22" t="str" cm="1">
        <f t="array" ref="B48">Quantity!B49</f>
        <v>[ADI571-100] ADIAVET™ IHNV REAL TIME</v>
      </c>
      <c r="C48" s="23" cm="1">
        <f t="array" ref="C48">Quantity!O49</f>
        <v>0</v>
      </c>
      <c r="D48" s="24" cm="1">
        <f t="array" ref="D48">CA!O49</f>
        <v>0</v>
      </c>
      <c r="E48" s="23" cm="1">
        <f t="array" ref="E48">Quantity!C49</f>
        <v>0</v>
      </c>
      <c r="F48" s="25" cm="1">
        <f t="array" ref="F48">CA!C49</f>
        <v>0</v>
      </c>
      <c r="G48" s="26" cm="1">
        <f t="array" aca="1" ref="G48" ca="1">SUMIFS(Quantity!$C49:$AH49,Quantity!$C$7:$AH$7,H$6,Quantity!$C$8:$AH$8,TRUE)</f>
        <v>0</v>
      </c>
      <c r="H48" s="24" cm="1">
        <f t="array" aca="1" ref="H48" ca="1">SUMIFS(CA!$C49:$AQ49,CA!$C$7:$AQ$7,H$6,CA!$C$8:$AQ$8,TRUE)</f>
        <v>0</v>
      </c>
      <c r="I48" s="23" cm="1">
        <f t="array" aca="1" ref="I48" ca="1">SUMIFS(Quantity!$C49:$AH49,Quantity!$C$7:$AH$7,J$6,Quantity!$C$8:$AH$8,TRUE)</f>
        <v>0</v>
      </c>
      <c r="J48" s="25" cm="1">
        <f t="array" aca="1" ref="J48" ca="1">SUMIFS(CA!$C49:$AQ49,CA!$C$7:$AQ$7,J$6,CA!$C$8:$AQ$8,TRUE)</f>
        <v>0</v>
      </c>
      <c r="K48" s="26" cm="1">
        <f t="array" ref="K48">IF(SUM(Quantity!O49:Z49)=0,"",SUM(Quantity!O49:Z49))</f>
        <v>3</v>
      </c>
      <c r="L48" s="24" cm="1">
        <f t="array" ref="L48">IF(SUM(CA!O49:Z49)=0,"",SUM(CA!O49:Z49))</f>
        <v>1800</v>
      </c>
      <c r="M48" s="23" cm="1">
        <f t="array" ref="M48">IF(SUM(Quantity!C49:N49)=0,"",SUM(Quantity!C49:N49))</f>
        <v>1</v>
      </c>
      <c r="N48" s="25" cm="1">
        <f t="array" ref="N48">IF(SUM(CA!C49:N49)=0,"",SUM(CA!C49:N49))</f>
        <v>600</v>
      </c>
    </row>
    <row r="49" spans="1:14" x14ac:dyDescent="0.25">
      <c r="A49" s="1"/>
      <c r="B49" s="22" t="str" cm="1">
        <f t="array" ref="B49">Quantity!B50</f>
        <v>[ADI581-100] ADIAVET™ VHSV REAL TIME</v>
      </c>
      <c r="C49" s="23" cm="1">
        <f t="array" ref="C49">Quantity!O50</f>
        <v>0</v>
      </c>
      <c r="D49" s="24" cm="1">
        <f t="array" ref="D49">CA!O50</f>
        <v>0</v>
      </c>
      <c r="E49" s="23" cm="1">
        <f t="array" ref="E49">Quantity!C50</f>
        <v>0</v>
      </c>
      <c r="F49" s="25" cm="1">
        <f t="array" ref="F49">CA!C50</f>
        <v>0</v>
      </c>
      <c r="G49" s="26" cm="1">
        <f t="array" aca="1" ref="G49" ca="1">SUMIFS(Quantity!$C50:$AH50,Quantity!$C$7:$AH$7,H$6,Quantity!$C$8:$AH$8,TRUE)</f>
        <v>0</v>
      </c>
      <c r="H49" s="24" cm="1">
        <f t="array" aca="1" ref="H49" ca="1">SUMIFS(CA!$C50:$AQ50,CA!$C$7:$AQ$7,H$6,CA!$C$8:$AQ$8,TRUE)</f>
        <v>0</v>
      </c>
      <c r="I49" s="23" cm="1">
        <f t="array" aca="1" ref="I49" ca="1">SUMIFS(Quantity!$C50:$AH50,Quantity!$C$7:$AH$7,J$6,Quantity!$C$8:$AH$8,TRUE)</f>
        <v>0</v>
      </c>
      <c r="J49" s="25" cm="1">
        <f t="array" aca="1" ref="J49" ca="1">SUMIFS(CA!$C50:$AQ50,CA!$C$7:$AQ$7,J$6,CA!$C$8:$AQ$8,TRUE)</f>
        <v>0</v>
      </c>
      <c r="K49" s="26" cm="1">
        <f t="array" ref="K49">IF(SUM(Quantity!O50:Z50)=0,"",SUM(Quantity!O50:Z50))</f>
        <v>2</v>
      </c>
      <c r="L49" s="24" cm="1">
        <f t="array" ref="L49">IF(SUM(CA!O50:Z50)=0,"",SUM(CA!O50:Z50))</f>
        <v>1200</v>
      </c>
      <c r="M49" s="23" cm="1">
        <f t="array" ref="M49">IF(SUM(Quantity!C50:N50)=0,"",SUM(Quantity!C50:N50))</f>
        <v>1</v>
      </c>
      <c r="N49" s="25" cm="1">
        <f t="array" ref="N49">IF(SUM(CA!C50:N50)=0,"",SUM(CA!C50:N50))</f>
        <v>600</v>
      </c>
    </row>
    <row r="50" spans="1:14" x14ac:dyDescent="0.25">
      <c r="A50" s="1"/>
      <c r="B50" s="22" t="str" cm="1">
        <f t="array" ref="B50">Quantity!B51</f>
        <v>[ADI611-100] ADIAVET™ CHLAM SPP FAST TIME</v>
      </c>
      <c r="C50" s="23" cm="1">
        <f t="array" ref="C50">Quantity!O51</f>
        <v>0</v>
      </c>
      <c r="D50" s="24" cm="1">
        <f t="array" ref="D50">CA!O51</f>
        <v>0</v>
      </c>
      <c r="E50" s="23" cm="1">
        <f t="array" ref="E50">Quantity!C51</f>
        <v>1</v>
      </c>
      <c r="F50" s="25" cm="1">
        <f t="array" ref="F50">CA!C51</f>
        <v>350</v>
      </c>
      <c r="G50" s="26" cm="1">
        <f t="array" aca="1" ref="G50" ca="1">SUMIFS(Quantity!$C51:$AH51,Quantity!$C$7:$AH$7,H$6,Quantity!$C$8:$AH$8,TRUE)</f>
        <v>0</v>
      </c>
      <c r="H50" s="24" cm="1">
        <f t="array" aca="1" ref="H50" ca="1">SUMIFS(CA!$C51:$AQ51,CA!$C$7:$AQ$7,H$6,CA!$C$8:$AQ$8,TRUE)</f>
        <v>0</v>
      </c>
      <c r="I50" s="23" cm="1">
        <f t="array" aca="1" ref="I50" ca="1">SUMIFS(Quantity!$C51:$AH51,Quantity!$C$7:$AH$7,J$6,Quantity!$C$8:$AH$8,TRUE)</f>
        <v>0</v>
      </c>
      <c r="J50" s="25" cm="1">
        <f t="array" aca="1" ref="J50" ca="1">SUMIFS(CA!$C51:$AQ51,CA!$C$7:$AQ$7,J$6,CA!$C$8:$AQ$8,TRUE)</f>
        <v>0</v>
      </c>
      <c r="K50" s="26" cm="1">
        <f t="array" ref="K50">IF(SUM(Quantity!O51:Z51)=0,"",SUM(Quantity!O51:Z51))</f>
        <v>6</v>
      </c>
      <c r="L50" s="24" cm="1">
        <f t="array" ref="L50">IF(SUM(CA!O51:Z51)=0,"",SUM(CA!O51:Z51))</f>
        <v>2100</v>
      </c>
      <c r="M50" s="23" cm="1">
        <f t="array" ref="M50">IF(SUM(Quantity!C51:N51)=0,"",SUM(Quantity!C51:N51))</f>
        <v>4</v>
      </c>
      <c r="N50" s="25" cm="1">
        <f t="array" ref="N50">IF(SUM(CA!C51:N51)=0,"",SUM(CA!C51:N51))</f>
        <v>1400</v>
      </c>
    </row>
    <row r="51" spans="1:14" x14ac:dyDescent="0.25">
      <c r="A51" s="1"/>
      <c r="B51" s="22" t="str" cm="1">
        <f t="array" ref="B51">Quantity!B52</f>
        <v>[ADI711-100] ADIAVET™ BTV TYPE 3 REAL TIME</v>
      </c>
      <c r="C51" s="23" cm="1">
        <f t="array" ref="C51">Quantity!O52</f>
        <v>0</v>
      </c>
      <c r="D51" s="24" cm="1">
        <f t="array" ref="D51">CA!O52</f>
        <v>0</v>
      </c>
      <c r="E51" s="23" cm="1">
        <f t="array" ref="E51">Quantity!C52</f>
        <v>0</v>
      </c>
      <c r="F51" s="25" cm="1">
        <f t="array" ref="F51">CA!C52</f>
        <v>0</v>
      </c>
      <c r="G51" s="26" cm="1">
        <f t="array" aca="1" ref="G51" ca="1">SUMIFS(Quantity!$C52:$AH52,Quantity!$C$7:$AH$7,H$6,Quantity!$C$8:$AH$8,TRUE)</f>
        <v>0</v>
      </c>
      <c r="H51" s="24" cm="1">
        <f t="array" aca="1" ref="H51" ca="1">SUMIFS(CA!$C52:$AQ52,CA!$C$7:$AQ$7,H$6,CA!$C$8:$AQ$8,TRUE)</f>
        <v>0</v>
      </c>
      <c r="I51" s="23" cm="1">
        <f t="array" aca="1" ref="I51" ca="1">SUMIFS(Quantity!$C52:$AH52,Quantity!$C$7:$AH$7,J$6,Quantity!$C$8:$AH$8,TRUE)</f>
        <v>0</v>
      </c>
      <c r="J51" s="25" cm="1">
        <f t="array" aca="1" ref="J51" ca="1">SUMIFS(CA!$C52:$AQ52,CA!$C$7:$AQ$7,J$6,CA!$C$8:$AQ$8,TRUE)</f>
        <v>0</v>
      </c>
      <c r="K51" s="26" cm="1">
        <f t="array" ref="K51">IF(SUM(Quantity!O52:Z52)=0,"",SUM(Quantity!O52:Z52))</f>
        <v>6</v>
      </c>
      <c r="L51" s="24" cm="1">
        <f t="array" ref="L51">IF(SUM(CA!O52:Z52)=0,"",SUM(CA!O52:Z52))</f>
        <v>1440</v>
      </c>
      <c r="M51" s="23" cm="1">
        <f t="array" ref="M51">IF(SUM(Quantity!C52:N52)=0,"",SUM(Quantity!C52:N52))</f>
        <v>34</v>
      </c>
      <c r="N51" s="25" cm="1">
        <f t="array" ref="N51">IF(SUM(CA!C52:N52)=0,"",SUM(CA!C52:N52))</f>
        <v>8160</v>
      </c>
    </row>
    <row r="52" spans="1:14" x14ac:dyDescent="0.25">
      <c r="A52" s="1"/>
      <c r="B52" s="22" t="str" cm="1">
        <f t="array" ref="B52">Quantity!B53</f>
        <v>[ADI721-100] ADIAVET™ EHDV REAL TIME</v>
      </c>
      <c r="C52" s="23" cm="1">
        <f t="array" ref="C52">Quantity!O53</f>
        <v>1</v>
      </c>
      <c r="D52" s="24" cm="1">
        <f t="array" ref="D52">CA!O53</f>
        <v>230</v>
      </c>
      <c r="E52" s="23" cm="1">
        <f t="array" ref="E52">Quantity!C53</f>
        <v>2</v>
      </c>
      <c r="F52" s="25" cm="1">
        <f t="array" ref="F52">CA!C53</f>
        <v>460</v>
      </c>
      <c r="G52" s="26" cm="1">
        <f t="array" aca="1" ref="G52" ca="1">SUMIFS(Quantity!$C53:$AH53,Quantity!$C$7:$AH$7,H$6,Quantity!$C$8:$AH$8,TRUE)</f>
        <v>0</v>
      </c>
      <c r="H52" s="24" cm="1">
        <f t="array" aca="1" ref="H52" ca="1">SUMIFS(CA!$C53:$AQ53,CA!$C$7:$AQ$7,H$6,CA!$C$8:$AQ$8,TRUE)</f>
        <v>0</v>
      </c>
      <c r="I52" s="23" cm="1">
        <f t="array" aca="1" ref="I52" ca="1">SUMIFS(Quantity!$C53:$AH53,Quantity!$C$7:$AH$7,J$6,Quantity!$C$8:$AH$8,TRUE)</f>
        <v>0</v>
      </c>
      <c r="J52" s="25" cm="1">
        <f t="array" aca="1" ref="J52" ca="1">SUMIFS(CA!$C53:$AQ53,CA!$C$7:$AQ$7,J$6,CA!$C$8:$AQ$8,TRUE)</f>
        <v>0</v>
      </c>
      <c r="K52" s="26" cm="1">
        <f t="array" ref="K52">IF(SUM(Quantity!O53:Z53)=0,"",SUM(Quantity!O53:Z53))</f>
        <v>41</v>
      </c>
      <c r="L52" s="24" cm="1">
        <f t="array" ref="L52">IF(SUM(CA!O53:Z53)=0,"",SUM(CA!O53:Z53))</f>
        <v>9430</v>
      </c>
      <c r="M52" s="23" cm="1">
        <f t="array" ref="M52">IF(SUM(Quantity!C53:N53)=0,"",SUM(Quantity!C53:N53))</f>
        <v>51</v>
      </c>
      <c r="N52" s="25" cm="1">
        <f t="array" ref="N52">IF(SUM(CA!C53:N53)=0,"",SUM(CA!C53:N53))</f>
        <v>12486.8</v>
      </c>
    </row>
    <row r="53" spans="1:14" x14ac:dyDescent="0.25">
      <c r="A53" s="1"/>
      <c r="B53" s="22" t="str" cm="1">
        <f t="array" ref="B53">Quantity!B54</f>
        <v>[ADI721-500] ADIAVET™ EHDV REAL TIME</v>
      </c>
      <c r="C53" s="23" cm="1">
        <f t="array" ref="C53">Quantity!O54</f>
        <v>0</v>
      </c>
      <c r="D53" s="24" cm="1">
        <f t="array" ref="D53">CA!O54</f>
        <v>0</v>
      </c>
      <c r="E53" s="23" cm="1">
        <f t="array" ref="E53">Quantity!C54</f>
        <v>0</v>
      </c>
      <c r="F53" s="25" cm="1">
        <f t="array" ref="F53">CA!C54</f>
        <v>0</v>
      </c>
      <c r="G53" s="26" cm="1">
        <f t="array" aca="1" ref="G53" ca="1">SUMIFS(Quantity!$C54:$AH54,Quantity!$C$7:$AH$7,H$6,Quantity!$C$8:$AH$8,TRUE)</f>
        <v>0</v>
      </c>
      <c r="H53" s="24" cm="1">
        <f t="array" aca="1" ref="H53" ca="1">SUMIFS(CA!$C54:$AQ54,CA!$C$7:$AQ$7,H$6,CA!$C$8:$AQ$8,TRUE)</f>
        <v>0</v>
      </c>
      <c r="I53" s="23" cm="1">
        <f t="array" aca="1" ref="I53" ca="1">SUMIFS(Quantity!$C54:$AH54,Quantity!$C$7:$AH$7,J$6,Quantity!$C$8:$AH$8,TRUE)</f>
        <v>0</v>
      </c>
      <c r="J53" s="25" cm="1">
        <f t="array" aca="1" ref="J53" ca="1">SUMIFS(CA!$C54:$AQ54,CA!$C$7:$AQ$7,J$6,CA!$C$8:$AQ$8,TRUE)</f>
        <v>0</v>
      </c>
      <c r="K53" s="26" cm="1">
        <f t="array" ref="K53">IF(SUM(Quantity!O54:Z54)=0,"",SUM(Quantity!O54:Z54))</f>
        <v>6</v>
      </c>
      <c r="L53" s="24" cm="1">
        <f t="array" ref="L53">IF(SUM(CA!O54:Z54)=0,"",SUM(CA!O54:Z54))</f>
        <v>6400</v>
      </c>
      <c r="M53" s="23" cm="1">
        <f t="array" ref="M53">IF(SUM(Quantity!C54:N54)=0,"",SUM(Quantity!C54:N54))</f>
        <v>4</v>
      </c>
      <c r="N53" s="25" cm="1">
        <f t="array" ref="N53">IF(SUM(CA!C54:N54)=0,"",SUM(CA!C54:N54))</f>
        <v>4200</v>
      </c>
    </row>
    <row r="54" spans="1:14" x14ac:dyDescent="0.25">
      <c r="A54" s="1"/>
      <c r="B54" s="22" t="str" cm="1">
        <f t="array" ref="B54">Quantity!B55</f>
        <v>[ADIADP10E1-400] ADIAPURE™ TLB</v>
      </c>
      <c r="C54" s="23" cm="1">
        <f t="array" ref="C54">Quantity!O55</f>
        <v>40</v>
      </c>
      <c r="D54" s="24" cm="1">
        <f t="array" ref="D54">CA!O55</f>
        <v>3200</v>
      </c>
      <c r="E54" s="23" cm="1">
        <f t="array" ref="E54">Quantity!C55</f>
        <v>60</v>
      </c>
      <c r="F54" s="25" cm="1">
        <f t="array" ref="F54">CA!C55</f>
        <v>4800</v>
      </c>
      <c r="G54" s="26" cm="1">
        <f t="array" aca="1" ref="G54" ca="1">SUMIFS(Quantity!$C55:$AH55,Quantity!$C$7:$AH$7,H$6,Quantity!$C$8:$AH$8,TRUE)</f>
        <v>0</v>
      </c>
      <c r="H54" s="24" cm="1">
        <f t="array" aca="1" ref="H54" ca="1">SUMIFS(CA!$C55:$AQ55,CA!$C$7:$AQ$7,H$6,CA!$C$8:$AQ$8,TRUE)</f>
        <v>0</v>
      </c>
      <c r="I54" s="23" cm="1">
        <f t="array" aca="1" ref="I54" ca="1">SUMIFS(Quantity!$C55:$AH55,Quantity!$C$7:$AH$7,J$6,Quantity!$C$8:$AH$8,TRUE)</f>
        <v>0</v>
      </c>
      <c r="J54" s="25" cm="1">
        <f t="array" aca="1" ref="J54" ca="1">SUMIFS(CA!$C55:$AQ55,CA!$C$7:$AQ$7,J$6,CA!$C$8:$AQ$8,TRUE)</f>
        <v>0</v>
      </c>
      <c r="K54" s="26" cm="1">
        <f t="array" ref="K54">IF(SUM(Quantity!O55:Z55)=0,"",SUM(Quantity!O55:Z55))</f>
        <v>695</v>
      </c>
      <c r="L54" s="24" cm="1">
        <f t="array" ref="L54">IF(SUM(CA!O55:Z55)=0,"",SUM(CA!O55:Z55))</f>
        <v>55600</v>
      </c>
      <c r="M54" s="23" cm="1">
        <f t="array" ref="M54">IF(SUM(Quantity!C55:N55)=0,"",SUM(Quantity!C55:N55))</f>
        <v>710</v>
      </c>
      <c r="N54" s="25" cm="1">
        <f t="array" ref="N54">IF(SUM(CA!C55:N55)=0,"",SUM(CA!C55:N55))</f>
        <v>56800</v>
      </c>
    </row>
    <row r="55" spans="1:14" x14ac:dyDescent="0.25">
      <c r="A55" s="1"/>
      <c r="B55" s="22" t="str" cm="1">
        <f t="array" ref="B55">Quantity!B56</f>
        <v>[ADIADPBIA-480] ADIAPURE™ ALIQUOTED GLASS BEADS</v>
      </c>
      <c r="C55" s="23" cm="1">
        <f t="array" ref="C55">Quantity!O56</f>
        <v>1</v>
      </c>
      <c r="D55" s="24" cm="1">
        <f t="array" ref="D55">CA!O56</f>
        <v>257</v>
      </c>
      <c r="E55" s="23" cm="1">
        <f t="array" ref="E55">Quantity!C56</f>
        <v>0</v>
      </c>
      <c r="F55" s="25" cm="1">
        <f t="array" ref="F55">CA!C56</f>
        <v>0</v>
      </c>
      <c r="G55" s="26" cm="1">
        <f t="array" aca="1" ref="G55" ca="1">SUMIFS(Quantity!$C56:$AH56,Quantity!$C$7:$AH$7,H$6,Quantity!$C$8:$AH$8,TRUE)</f>
        <v>0</v>
      </c>
      <c r="H55" s="24" cm="1">
        <f t="array" aca="1" ref="H55" ca="1">SUMIFS(CA!$C56:$AQ56,CA!$C$7:$AQ$7,H$6,CA!$C$8:$AQ$8,TRUE)</f>
        <v>0</v>
      </c>
      <c r="I55" s="23" cm="1">
        <f t="array" aca="1" ref="I55" ca="1">SUMIFS(Quantity!$C56:$AH56,Quantity!$C$7:$AH$7,J$6,Quantity!$C$8:$AH$8,TRUE)</f>
        <v>0</v>
      </c>
      <c r="J55" s="25" cm="1">
        <f t="array" aca="1" ref="J55" ca="1">SUMIFS(CA!$C56:$AQ56,CA!$C$7:$AQ$7,J$6,CA!$C$8:$AQ$8,TRUE)</f>
        <v>0</v>
      </c>
      <c r="K55" s="26" cm="1">
        <f t="array" ref="K55">IF(SUM(Quantity!O56:Z56)=0,"",SUM(Quantity!O56:Z56))</f>
        <v>3</v>
      </c>
      <c r="L55" s="24" cm="1">
        <f t="array" ref="L55">IF(SUM(CA!O56:Z56)=0,"",SUM(CA!O56:Z56))</f>
        <v>771</v>
      </c>
      <c r="M55" s="23" cm="1">
        <f t="array" ref="M55">IF(SUM(Quantity!C56:N56)=0,"",SUM(Quantity!C56:N56))</f>
        <v>2</v>
      </c>
      <c r="N55" s="25" cm="1">
        <f t="array" ref="N55">IF(SUM(CA!C56:N56)=0,"",SUM(CA!C56:N56))</f>
        <v>514</v>
      </c>
    </row>
    <row r="56" spans="1:14" x14ac:dyDescent="0.25">
      <c r="A56" s="1"/>
      <c r="B56" s="22" t="str" cm="1">
        <f t="array" ref="B56">Quantity!B57</f>
        <v>[ADIFIL100] ADIAFILTER™</v>
      </c>
      <c r="C56" s="23" cm="1">
        <f t="array" ref="C56">Quantity!O57</f>
        <v>3</v>
      </c>
      <c r="D56" s="24" cm="1">
        <f t="array" ref="D56">CA!O57</f>
        <v>240</v>
      </c>
      <c r="E56" s="23" cm="1">
        <f t="array" ref="E56">Quantity!C57</f>
        <v>2</v>
      </c>
      <c r="F56" s="25" cm="1">
        <f t="array" ref="F56">CA!C57</f>
        <v>160</v>
      </c>
      <c r="G56" s="26" cm="1">
        <f t="array" aca="1" ref="G56" ca="1">SUMIFS(Quantity!$C57:$AH57,Quantity!$C$7:$AH$7,H$6,Quantity!$C$8:$AH$8,TRUE)</f>
        <v>0</v>
      </c>
      <c r="H56" s="24" cm="1">
        <f t="array" aca="1" ref="H56" ca="1">SUMIFS(CA!$C57:$AQ57,CA!$C$7:$AQ$7,H$6,CA!$C$8:$AQ$8,TRUE)</f>
        <v>0</v>
      </c>
      <c r="I56" s="23" cm="1">
        <f t="array" aca="1" ref="I56" ca="1">SUMIFS(Quantity!$C57:$AH57,Quantity!$C$7:$AH$7,J$6,Quantity!$C$8:$AH$8,TRUE)</f>
        <v>0</v>
      </c>
      <c r="J56" s="25" cm="1">
        <f t="array" aca="1" ref="J56" ca="1">SUMIFS(CA!$C57:$AQ57,CA!$C$7:$AQ$7,J$6,CA!$C$8:$AQ$8,TRUE)</f>
        <v>0</v>
      </c>
      <c r="K56" s="26" cm="1">
        <f t="array" ref="K56">IF(SUM(Quantity!O57:Z57)=0,"",SUM(Quantity!O57:Z57))</f>
        <v>14</v>
      </c>
      <c r="L56" s="24" cm="1">
        <f t="array" ref="L56">IF(SUM(CA!O57:Z57)=0,"",SUM(CA!O57:Z57))</f>
        <v>1120</v>
      </c>
      <c r="M56" s="23" cm="1">
        <f t="array" ref="M56">IF(SUM(Quantity!C57:N57)=0,"",SUM(Quantity!C57:N57))</f>
        <v>11</v>
      </c>
      <c r="N56" s="25" cm="1">
        <f t="array" ref="N56">IF(SUM(CA!C57:N57)=0,"",SUM(CA!C57:N57))</f>
        <v>880</v>
      </c>
    </row>
    <row r="57" spans="1:14" x14ac:dyDescent="0.25">
      <c r="A57" s="1"/>
      <c r="B57" s="22" t="str" cm="1">
        <f t="array" ref="B57">Quantity!B58</f>
        <v>[ADIGMBH351-100] ADIAVET™ BTV REAL TIME</v>
      </c>
      <c r="C57" s="23" cm="1">
        <f t="array" ref="C57">Quantity!O58</f>
        <v>0</v>
      </c>
      <c r="D57" s="24" cm="1">
        <f t="array" ref="D57">CA!O58</f>
        <v>0</v>
      </c>
      <c r="E57" s="23" cm="1">
        <f t="array" ref="E57">Quantity!C58</f>
        <v>0</v>
      </c>
      <c r="F57" s="25" cm="1">
        <f t="array" ref="F57">CA!C58</f>
        <v>0</v>
      </c>
      <c r="G57" s="26" cm="1">
        <f t="array" aca="1" ref="G57" ca="1">SUMIFS(Quantity!$C58:$AH58,Quantity!$C$7:$AH$7,H$6,Quantity!$C$8:$AH$8,TRUE)</f>
        <v>0</v>
      </c>
      <c r="H57" s="24" cm="1">
        <f t="array" aca="1" ref="H57" ca="1">SUMIFS(CA!$C58:$AQ58,CA!$C$7:$AQ$7,H$6,CA!$C$8:$AQ$8,TRUE)</f>
        <v>0</v>
      </c>
      <c r="I57" s="23" cm="1">
        <f t="array" aca="1" ref="I57" ca="1">SUMIFS(Quantity!$C58:$AH58,Quantity!$C$7:$AH$7,J$6,Quantity!$C$8:$AH$8,TRUE)</f>
        <v>0</v>
      </c>
      <c r="J57" s="25" cm="1">
        <f t="array" aca="1" ref="J57" ca="1">SUMIFS(CA!$C58:$AQ58,CA!$C$7:$AQ$7,J$6,CA!$C$8:$AQ$8,TRUE)</f>
        <v>0</v>
      </c>
      <c r="K57" s="26" cm="1">
        <f t="array" ref="K57">IF(SUM(Quantity!O58:Z58)=0,"",SUM(Quantity!O58:Z58))</f>
        <v>4</v>
      </c>
      <c r="L57" s="24" cm="1">
        <f t="array" ref="L57">IF(SUM(CA!O58:Z58)=0,"",SUM(CA!O58:Z58))</f>
        <v>2901.6</v>
      </c>
      <c r="M57" s="23" cm="1">
        <f t="array" ref="M57">IF(SUM(Quantity!C58:N58)=0,"",SUM(Quantity!C58:N58))</f>
        <v>1</v>
      </c>
      <c r="N57" s="25" cm="1">
        <f t="array" ref="N57">IF(SUM(CA!C58:N58)=0,"",SUM(CA!C58:N58))</f>
        <v>758.7</v>
      </c>
    </row>
    <row r="58" spans="1:14" x14ac:dyDescent="0.25">
      <c r="A58" s="1"/>
      <c r="B58" s="22" t="str" cm="1">
        <f t="array" ref="B58">Quantity!B59</f>
        <v>[ADL02Y1-100] ADIALYO™ LAWSONIA</v>
      </c>
      <c r="C58" s="23" cm="1">
        <f t="array" ref="C58">Quantity!O59</f>
        <v>0</v>
      </c>
      <c r="D58" s="24" cm="1">
        <f t="array" ref="D58">CA!O59</f>
        <v>0</v>
      </c>
      <c r="E58" s="23" cm="1">
        <f t="array" ref="E58">Quantity!C59</f>
        <v>0</v>
      </c>
      <c r="F58" s="25" cm="1">
        <f t="array" ref="F58">CA!C59</f>
        <v>0</v>
      </c>
      <c r="G58" s="26" cm="1">
        <f t="array" aca="1" ref="G58" ca="1">SUMIFS(Quantity!$C59:$AH59,Quantity!$C$7:$AH$7,H$6,Quantity!$C$8:$AH$8,TRUE)</f>
        <v>0</v>
      </c>
      <c r="H58" s="24" cm="1">
        <f t="array" aca="1" ref="H58" ca="1">SUMIFS(CA!$C59:$AQ59,CA!$C$7:$AQ$7,H$6,CA!$C$8:$AQ$8,TRUE)</f>
        <v>0</v>
      </c>
      <c r="I58" s="23" cm="1">
        <f t="array" aca="1" ref="I58" ca="1">SUMIFS(Quantity!$C59:$AH59,Quantity!$C$7:$AH$7,J$6,Quantity!$C$8:$AH$8,TRUE)</f>
        <v>0</v>
      </c>
      <c r="J58" s="25" cm="1">
        <f t="array" aca="1" ref="J58" ca="1">SUMIFS(CA!$C59:$AQ59,CA!$C$7:$AQ$7,J$6,CA!$C$8:$AQ$8,TRUE)</f>
        <v>0</v>
      </c>
      <c r="K58" s="26" t="str" cm="1">
        <f t="array" ref="K58">IF(SUM(Quantity!O59:Z59)=0,"",SUM(Quantity!O59:Z59))</f>
        <v/>
      </c>
      <c r="L58" s="24" t="str" cm="1">
        <f t="array" ref="L58">IF(SUM(CA!O59:Z59)=0,"",SUM(CA!O59:Z59))</f>
        <v/>
      </c>
      <c r="M58" s="23" cm="1">
        <f t="array" ref="M58">IF(SUM(Quantity!C59:N59)=0,"",SUM(Quantity!C59:N59))</f>
        <v>9</v>
      </c>
      <c r="N58" s="25" cm="1">
        <f t="array" ref="N58">IF(SUM(CA!C59:N59)=0,"",SUM(CA!C59:N59))</f>
        <v>8470</v>
      </c>
    </row>
    <row r="59" spans="1:14" x14ac:dyDescent="0.25">
      <c r="A59" s="1"/>
      <c r="B59" s="22" t="str" cm="1">
        <f t="array" ref="B59">Quantity!B60</f>
        <v>[ADL04Y1-100] ADIALYO™ PARATB</v>
      </c>
      <c r="C59" s="23" cm="1">
        <f t="array" ref="C59">Quantity!O60</f>
        <v>0</v>
      </c>
      <c r="D59" s="24" cm="1">
        <f t="array" ref="D59">CA!O60</f>
        <v>0</v>
      </c>
      <c r="E59" s="23" cm="1">
        <f t="array" ref="E59">Quantity!C60</f>
        <v>0</v>
      </c>
      <c r="F59" s="25" cm="1">
        <f t="array" ref="F59">CA!C60</f>
        <v>0</v>
      </c>
      <c r="G59" s="26" cm="1">
        <f t="array" aca="1" ref="G59" ca="1">SUMIFS(Quantity!$C60:$AH60,Quantity!$C$7:$AH$7,H$6,Quantity!$C$8:$AH$8,TRUE)</f>
        <v>0</v>
      </c>
      <c r="H59" s="24" cm="1">
        <f t="array" aca="1" ref="H59" ca="1">SUMIFS(CA!$C60:$AQ60,CA!$C$7:$AQ$7,H$6,CA!$C$8:$AQ$8,TRUE)</f>
        <v>0</v>
      </c>
      <c r="I59" s="23" cm="1">
        <f t="array" aca="1" ref="I59" ca="1">SUMIFS(Quantity!$C60:$AH60,Quantity!$C$7:$AH$7,J$6,Quantity!$C$8:$AH$8,TRUE)</f>
        <v>0</v>
      </c>
      <c r="J59" s="25" cm="1">
        <f t="array" aca="1" ref="J59" ca="1">SUMIFS(CA!$C60:$AQ60,CA!$C$7:$AQ$7,J$6,CA!$C$8:$AQ$8,TRUE)</f>
        <v>0</v>
      </c>
      <c r="K59" s="26" t="str" cm="1">
        <f t="array" ref="K59">IF(SUM(Quantity!O60:Z60)=0,"",SUM(Quantity!O60:Z60))</f>
        <v/>
      </c>
      <c r="L59" s="24" t="str" cm="1">
        <f t="array" ref="L59">IF(SUM(CA!O60:Z60)=0,"",SUM(CA!O60:Z60))</f>
        <v/>
      </c>
      <c r="M59" s="23" cm="1">
        <f t="array" ref="M59">IF(SUM(Quantity!C60:N60)=0,"",SUM(Quantity!C60:N60))</f>
        <v>2</v>
      </c>
      <c r="N59" s="25" t="str" cm="1">
        <f t="array" ref="N59">IF(SUM(CA!C60:N60)=0,"",SUM(CA!C60:N60))</f>
        <v/>
      </c>
    </row>
    <row r="60" spans="1:14" x14ac:dyDescent="0.25">
      <c r="A60" s="1"/>
      <c r="B60" s="22" t="str" cm="1">
        <f t="array" ref="B60">Quantity!B61</f>
        <v>[ADL05Y1-100] ADIALYO™ M.HYOP</v>
      </c>
      <c r="C60" s="23" cm="1">
        <f t="array" ref="C60">Quantity!O61</f>
        <v>0</v>
      </c>
      <c r="D60" s="24" cm="1">
        <f t="array" ref="D60">CA!O61</f>
        <v>0</v>
      </c>
      <c r="E60" s="23" cm="1">
        <f t="array" ref="E60">Quantity!C61</f>
        <v>0</v>
      </c>
      <c r="F60" s="25" cm="1">
        <f t="array" ref="F60">CA!C61</f>
        <v>0</v>
      </c>
      <c r="G60" s="26" cm="1">
        <f t="array" aca="1" ref="G60" ca="1">SUMIFS(Quantity!$C61:$AH61,Quantity!$C$7:$AH$7,H$6,Quantity!$C$8:$AH$8,TRUE)</f>
        <v>0</v>
      </c>
      <c r="H60" s="24" cm="1">
        <f t="array" aca="1" ref="H60" ca="1">SUMIFS(CA!$C61:$AQ61,CA!$C$7:$AQ$7,H$6,CA!$C$8:$AQ$8,TRUE)</f>
        <v>0</v>
      </c>
      <c r="I60" s="23" cm="1">
        <f t="array" aca="1" ref="I60" ca="1">SUMIFS(Quantity!$C61:$AH61,Quantity!$C$7:$AH$7,J$6,Quantity!$C$8:$AH$8,TRUE)</f>
        <v>0</v>
      </c>
      <c r="J60" s="25" cm="1">
        <f t="array" aca="1" ref="J60" ca="1">SUMIFS(CA!$C61:$AQ61,CA!$C$7:$AQ$7,J$6,CA!$C$8:$AQ$8,TRUE)</f>
        <v>0</v>
      </c>
      <c r="K60" s="26" t="str" cm="1">
        <f t="array" ref="K60">IF(SUM(Quantity!O61:Z61)=0,"",SUM(Quantity!O61:Z61))</f>
        <v/>
      </c>
      <c r="L60" s="24" t="str" cm="1">
        <f t="array" ref="L60">IF(SUM(CA!O61:Z61)=0,"",SUM(CA!O61:Z61))</f>
        <v/>
      </c>
      <c r="M60" s="23" cm="1">
        <f t="array" ref="M60">IF(SUM(Quantity!C61:N61)=0,"",SUM(Quantity!C61:N61))</f>
        <v>8</v>
      </c>
      <c r="N60" s="25" cm="1">
        <f t="array" ref="N60">IF(SUM(CA!C61:N61)=0,"",SUM(CA!C61:N61))</f>
        <v>7084</v>
      </c>
    </row>
    <row r="61" spans="1:14" x14ac:dyDescent="0.25">
      <c r="A61" s="1"/>
      <c r="B61" s="22" t="str" cm="1">
        <f t="array" ref="B61">Quantity!B62</f>
        <v>[ADL06Y1-100] ADIALYO™ BRACHY HYO/PILO</v>
      </c>
      <c r="C61" s="23" cm="1">
        <f t="array" ref="C61">Quantity!O62</f>
        <v>0</v>
      </c>
      <c r="D61" s="24" cm="1">
        <f t="array" ref="D61">CA!O62</f>
        <v>0</v>
      </c>
      <c r="E61" s="23" cm="1">
        <f t="array" ref="E61">Quantity!C62</f>
        <v>1</v>
      </c>
      <c r="F61" s="25" cm="1">
        <f t="array" ref="F61">CA!C62</f>
        <v>566.5</v>
      </c>
      <c r="G61" s="26" cm="1">
        <f t="array" aca="1" ref="G61" ca="1">SUMIFS(Quantity!$C62:$AH62,Quantity!$C$7:$AH$7,H$6,Quantity!$C$8:$AH$8,TRUE)</f>
        <v>0</v>
      </c>
      <c r="H61" s="24" cm="1">
        <f t="array" aca="1" ref="H61" ca="1">SUMIFS(CA!$C62:$AQ62,CA!$C$7:$AQ$7,H$6,CA!$C$8:$AQ$8,TRUE)</f>
        <v>0</v>
      </c>
      <c r="I61" s="23" cm="1">
        <f t="array" aca="1" ref="I61" ca="1">SUMIFS(Quantity!$C62:$AH62,Quantity!$C$7:$AH$7,J$6,Quantity!$C$8:$AH$8,TRUE)</f>
        <v>0</v>
      </c>
      <c r="J61" s="25" cm="1">
        <f t="array" aca="1" ref="J61" ca="1">SUMIFS(CA!$C62:$AQ62,CA!$C$7:$AQ$7,J$6,CA!$C$8:$AQ$8,TRUE)</f>
        <v>0</v>
      </c>
      <c r="K61" s="26" t="str" cm="1">
        <f t="array" ref="K61">IF(SUM(Quantity!O62:Z62)=0,"",SUM(Quantity!O62:Z62))</f>
        <v/>
      </c>
      <c r="L61" s="24" t="str" cm="1">
        <f t="array" ref="L61">IF(SUM(CA!O62:Z62)=0,"",SUM(CA!O62:Z62))</f>
        <v/>
      </c>
      <c r="M61" s="23" cm="1">
        <f t="array" ref="M61">IF(SUM(Quantity!C62:N62)=0,"",SUM(Quantity!C62:N62))</f>
        <v>1</v>
      </c>
      <c r="N61" s="25" cm="1">
        <f t="array" ref="N61">IF(SUM(CA!C62:N62)=0,"",SUM(CA!C62:N62))</f>
        <v>566.5</v>
      </c>
    </row>
    <row r="62" spans="1:14" x14ac:dyDescent="0.25">
      <c r="A62" s="1"/>
      <c r="B62" s="22" t="str" cm="1">
        <f t="array" ref="B62">Quantity!B63</f>
        <v>[ADL13Y1-100] ADIALYO™ EU/NA PRRSV</v>
      </c>
      <c r="C62" s="23" cm="1">
        <f t="array" ref="C62">Quantity!O63</f>
        <v>0</v>
      </c>
      <c r="D62" s="24" cm="1">
        <f t="array" ref="D62">CA!O63</f>
        <v>0</v>
      </c>
      <c r="E62" s="23" cm="1">
        <f t="array" ref="E62">Quantity!C63</f>
        <v>0</v>
      </c>
      <c r="F62" s="25" cm="1">
        <f t="array" ref="F62">CA!C63</f>
        <v>0</v>
      </c>
      <c r="G62" s="26" cm="1">
        <f t="array" aca="1" ref="G62" ca="1">SUMIFS(Quantity!$C63:$AH63,Quantity!$C$7:$AH$7,H$6,Quantity!$C$8:$AH$8,TRUE)</f>
        <v>0</v>
      </c>
      <c r="H62" s="24" cm="1">
        <f t="array" aca="1" ref="H62" ca="1">SUMIFS(CA!$C63:$AQ63,CA!$C$7:$AQ$7,H$6,CA!$C$8:$AQ$8,TRUE)</f>
        <v>0</v>
      </c>
      <c r="I62" s="23" cm="1">
        <f t="array" aca="1" ref="I62" ca="1">SUMIFS(Quantity!$C63:$AH63,Quantity!$C$7:$AH$7,J$6,Quantity!$C$8:$AH$8,TRUE)</f>
        <v>0</v>
      </c>
      <c r="J62" s="25" cm="1">
        <f t="array" aca="1" ref="J62" ca="1">SUMIFS(CA!$C63:$AQ63,CA!$C$7:$AQ$7,J$6,CA!$C$8:$AQ$8,TRUE)</f>
        <v>0</v>
      </c>
      <c r="K62" s="26" t="str" cm="1">
        <f t="array" ref="K62">IF(SUM(Quantity!O63:Z63)=0,"",SUM(Quantity!O63:Z63))</f>
        <v/>
      </c>
      <c r="L62" s="24" t="str" cm="1">
        <f t="array" ref="L62">IF(SUM(CA!O63:Z63)=0,"",SUM(CA!O63:Z63))</f>
        <v/>
      </c>
      <c r="M62" s="23" cm="1">
        <f t="array" ref="M62">IF(SUM(Quantity!C63:N63)=0,"",SUM(Quantity!C63:N63))</f>
        <v>9</v>
      </c>
      <c r="N62" s="25" cm="1">
        <f t="array" ref="N62">IF(SUM(CA!C63:N63)=0,"",SUM(CA!C63:N63))</f>
        <v>6517.92</v>
      </c>
    </row>
    <row r="63" spans="1:14" x14ac:dyDescent="0.25">
      <c r="A63" s="1"/>
      <c r="B63" s="22" t="str" cm="1">
        <f t="array" ref="B63">Quantity!B64</f>
        <v>[ADL28Y1-100] ADIALYO™ FLU A</v>
      </c>
      <c r="C63" s="23" cm="1">
        <f t="array" ref="C63">Quantity!O64</f>
        <v>0</v>
      </c>
      <c r="D63" s="24" cm="1">
        <f t="array" ref="D63">CA!O64</f>
        <v>0</v>
      </c>
      <c r="E63" s="23" cm="1">
        <f t="array" ref="E63">Quantity!C64</f>
        <v>0</v>
      </c>
      <c r="F63" s="25" cm="1">
        <f t="array" ref="F63">CA!C64</f>
        <v>0</v>
      </c>
      <c r="G63" s="26" cm="1">
        <f t="array" aca="1" ref="G63" ca="1">SUMIFS(Quantity!$C64:$AH64,Quantity!$C$7:$AH$7,H$6,Quantity!$C$8:$AH$8,TRUE)</f>
        <v>0</v>
      </c>
      <c r="H63" s="24" cm="1">
        <f t="array" aca="1" ref="H63" ca="1">SUMIFS(CA!$C64:$AQ64,CA!$C$7:$AQ$7,H$6,CA!$C$8:$AQ$8,TRUE)</f>
        <v>0</v>
      </c>
      <c r="I63" s="23" cm="1">
        <f t="array" aca="1" ref="I63" ca="1">SUMIFS(Quantity!$C64:$AH64,Quantity!$C$7:$AH$7,J$6,Quantity!$C$8:$AH$8,TRUE)</f>
        <v>0</v>
      </c>
      <c r="J63" s="25" cm="1">
        <f t="array" aca="1" ref="J63" ca="1">SUMIFS(CA!$C64:$AQ64,CA!$C$7:$AQ$7,J$6,CA!$C$8:$AQ$8,TRUE)</f>
        <v>0</v>
      </c>
      <c r="K63" s="26" cm="1">
        <f t="array" ref="K63">IF(SUM(Quantity!O64:Z64)=0,"",SUM(Quantity!O64:Z64))</f>
        <v>1</v>
      </c>
      <c r="L63" s="24" cm="1">
        <f t="array" ref="L63">IF(SUM(CA!O64:Z64)=0,"",SUM(CA!O64:Z64))</f>
        <v>421</v>
      </c>
      <c r="M63" s="23" t="str" cm="1">
        <f t="array" ref="M63">IF(SUM(Quantity!C64:N64)=0,"",SUM(Quantity!C64:N64))</f>
        <v/>
      </c>
      <c r="N63" s="25" t="str" cm="1">
        <f t="array" ref="N63">IF(SUM(CA!C64:N64)=0,"",SUM(CA!C64:N64))</f>
        <v/>
      </c>
    </row>
    <row r="64" spans="1:14" x14ac:dyDescent="0.25">
      <c r="A64" s="1"/>
      <c r="B64" s="22" t="str" cm="1">
        <f t="array" ref="B64">Quantity!B65</f>
        <v>[ADL67Y1-100] ADIALYO™ PCV2</v>
      </c>
      <c r="C64" s="23" cm="1">
        <f t="array" ref="C64">Quantity!O65</f>
        <v>0</v>
      </c>
      <c r="D64" s="24" cm="1">
        <f t="array" ref="D64">CA!O65</f>
        <v>0</v>
      </c>
      <c r="E64" s="23" cm="1">
        <f t="array" ref="E64">Quantity!C65</f>
        <v>0</v>
      </c>
      <c r="F64" s="25" cm="1">
        <f t="array" ref="F64">CA!C65</f>
        <v>0</v>
      </c>
      <c r="G64" s="26" cm="1">
        <f t="array" aca="1" ref="G64" ca="1">SUMIFS(Quantity!$C65:$AH65,Quantity!$C$7:$AH$7,H$6,Quantity!$C$8:$AH$8,TRUE)</f>
        <v>0</v>
      </c>
      <c r="H64" s="24" cm="1">
        <f t="array" aca="1" ref="H64" ca="1">SUMIFS(CA!$C65:$AQ65,CA!$C$7:$AQ$7,H$6,CA!$C$8:$AQ$8,TRUE)</f>
        <v>0</v>
      </c>
      <c r="I64" s="23" cm="1">
        <f t="array" aca="1" ref="I64" ca="1">SUMIFS(Quantity!$C65:$AH65,Quantity!$C$7:$AH$7,J$6,Quantity!$C$8:$AH$8,TRUE)</f>
        <v>0</v>
      </c>
      <c r="J64" s="25" cm="1">
        <f t="array" aca="1" ref="J64" ca="1">SUMIFS(CA!$C65:$AQ65,CA!$C$7:$AQ$7,J$6,CA!$C$8:$AQ$8,TRUE)</f>
        <v>0</v>
      </c>
      <c r="K64" s="26" t="str" cm="1">
        <f t="array" ref="K64">IF(SUM(Quantity!O65:Z65)=0,"",SUM(Quantity!O65:Z65))</f>
        <v/>
      </c>
      <c r="L64" s="24" t="str" cm="1">
        <f t="array" ref="L64">IF(SUM(CA!O65:Z65)=0,"",SUM(CA!O65:Z65))</f>
        <v/>
      </c>
      <c r="M64" s="23" cm="1">
        <f t="array" ref="M64">IF(SUM(Quantity!C65:N65)=0,"",SUM(Quantity!C65:N65))</f>
        <v>8</v>
      </c>
      <c r="N64" s="25" cm="1">
        <f t="array" ref="N64">IF(SUM(CA!C65:N65)=0,"",SUM(CA!C65:N65))</f>
        <v>5003.88</v>
      </c>
    </row>
    <row r="65" spans="1:14" x14ac:dyDescent="0.25">
      <c r="A65" s="1"/>
      <c r="B65" s="22" t="str" cm="1">
        <f t="array" ref="B65">Quantity!B66</f>
        <v>[ADL73Y1-500] ADIALYO™ BTV/EHDV 500R</v>
      </c>
      <c r="C65" s="23" cm="1">
        <f t="array" ref="C65">Quantity!O66</f>
        <v>0</v>
      </c>
      <c r="D65" s="24" cm="1">
        <f t="array" ref="D65">CA!O66</f>
        <v>0</v>
      </c>
      <c r="E65" s="23" cm="1">
        <f t="array" ref="E65">Quantity!C66</f>
        <v>0</v>
      </c>
      <c r="F65" s="25" cm="1">
        <f t="array" ref="F65">CA!C66</f>
        <v>0</v>
      </c>
      <c r="G65" s="26" cm="1">
        <f t="array" aca="1" ref="G65" ca="1">SUMIFS(Quantity!$C66:$AH66,Quantity!$C$7:$AH$7,H$6,Quantity!$C$8:$AH$8,TRUE)</f>
        <v>0</v>
      </c>
      <c r="H65" s="24" cm="1">
        <f t="array" aca="1" ref="H65" ca="1">SUMIFS(CA!$C66:$AQ66,CA!$C$7:$AQ$7,H$6,CA!$C$8:$AQ$8,TRUE)</f>
        <v>0</v>
      </c>
      <c r="I65" s="23" cm="1">
        <f t="array" aca="1" ref="I65" ca="1">SUMIFS(Quantity!$C66:$AH66,Quantity!$C$7:$AH$7,J$6,Quantity!$C$8:$AH$8,TRUE)</f>
        <v>0</v>
      </c>
      <c r="J65" s="25" cm="1">
        <f t="array" aca="1" ref="J65" ca="1">SUMIFS(CA!$C66:$AQ66,CA!$C$7:$AQ$7,J$6,CA!$C$8:$AQ$8,TRUE)</f>
        <v>0</v>
      </c>
      <c r="K65" s="26" t="str" cm="1">
        <f t="array" ref="K65">IF(SUM(Quantity!O66:Z66)=0,"",SUM(Quantity!O66:Z66))</f>
        <v/>
      </c>
      <c r="L65" s="24" t="str" cm="1">
        <f t="array" ref="L65">IF(SUM(CA!O66:Z66)=0,"",SUM(CA!O66:Z66))</f>
        <v/>
      </c>
      <c r="M65" s="23" cm="1">
        <f t="array" ref="M65">IF(SUM(Quantity!C66:N66)=0,"",SUM(Quantity!C66:N66))</f>
        <v>2</v>
      </c>
      <c r="N65" s="25" cm="1">
        <f t="array" ref="N65">IF(SUM(CA!C66:N66)=0,"",SUM(CA!C66:N66))</f>
        <v>2200</v>
      </c>
    </row>
    <row r="66" spans="1:14" x14ac:dyDescent="0.25">
      <c r="A66" s="1"/>
      <c r="B66" s="22" t="str" cm="1">
        <f t="array" ref="B66">Quantity!B67</f>
        <v>[BDE K 1511] Témoin positif (historique)</v>
      </c>
      <c r="C66" s="23" cm="1">
        <f t="array" ref="C66">Quantity!O67</f>
        <v>0</v>
      </c>
      <c r="D66" s="24" cm="1">
        <f t="array" ref="D66">CA!O67</f>
        <v>0</v>
      </c>
      <c r="E66" s="23" cm="1">
        <f t="array" ref="E66">Quantity!C67</f>
        <v>0</v>
      </c>
      <c r="F66" s="25" cm="1">
        <f t="array" ref="F66">CA!C67</f>
        <v>0</v>
      </c>
      <c r="G66" s="26" cm="1">
        <f t="array" aca="1" ref="G66" ca="1">SUMIFS(Quantity!$C67:$AH67,Quantity!$C$7:$AH$7,H$6,Quantity!$C$8:$AH$8,TRUE)</f>
        <v>0</v>
      </c>
      <c r="H66" s="24" cm="1">
        <f t="array" aca="1" ref="H66" ca="1">SUMIFS(CA!$C67:$AQ67,CA!$C$7:$AQ$7,H$6,CA!$C$8:$AQ$8,TRUE)</f>
        <v>0</v>
      </c>
      <c r="I66" s="23" cm="1">
        <f t="array" aca="1" ref="I66" ca="1">SUMIFS(Quantity!$C67:$AH67,Quantity!$C$7:$AH$7,J$6,Quantity!$C$8:$AH$8,TRUE)</f>
        <v>0</v>
      </c>
      <c r="J66" s="25" cm="1">
        <f t="array" aca="1" ref="J66" ca="1">SUMIFS(CA!$C67:$AQ67,CA!$C$7:$AQ$7,J$6,CA!$C$8:$AQ$8,TRUE)</f>
        <v>0</v>
      </c>
      <c r="K66" s="26" t="str" cm="1">
        <f t="array" ref="K66">IF(SUM(Quantity!O67:Z67)=0,"",SUM(Quantity!O67:Z67))</f>
        <v/>
      </c>
      <c r="L66" s="24" t="str" cm="1">
        <f t="array" ref="L66">IF(SUM(CA!O67:Z67)=0,"",SUM(CA!O67:Z67))</f>
        <v/>
      </c>
      <c r="M66" s="23" t="str" cm="1">
        <f t="array" ref="M66">IF(SUM(Quantity!C67:N67)=0,"",SUM(Quantity!C67:N67))</f>
        <v/>
      </c>
      <c r="N66" s="25" t="str" cm="1">
        <f t="array" ref="N66">IF(SUM(CA!C67:N67)=0,"",SUM(CA!C67:N67))</f>
        <v/>
      </c>
    </row>
    <row r="67" spans="1:14" x14ac:dyDescent="0.25">
      <c r="A67" s="1"/>
      <c r="B67" s="22" t="str" cm="1">
        <f t="array" ref="B67">Quantity!B68</f>
        <v>[BDE K 151a] Témoin négatif  (historique)</v>
      </c>
      <c r="C67" s="23" cm="1">
        <f t="array" ref="C67">Quantity!O68</f>
        <v>0</v>
      </c>
      <c r="D67" s="24" cm="1">
        <f t="array" ref="D67">CA!O68</f>
        <v>0</v>
      </c>
      <c r="E67" s="23" cm="1">
        <f t="array" ref="E67">Quantity!C68</f>
        <v>0</v>
      </c>
      <c r="F67" s="25" cm="1">
        <f t="array" ref="F67">CA!C68</f>
        <v>0</v>
      </c>
      <c r="G67" s="26" cm="1">
        <f t="array" aca="1" ref="G67" ca="1">SUMIFS(Quantity!$C68:$AH68,Quantity!$C$7:$AH$7,H$6,Quantity!$C$8:$AH$8,TRUE)</f>
        <v>0</v>
      </c>
      <c r="H67" s="24" cm="1">
        <f t="array" aca="1" ref="H67" ca="1">SUMIFS(CA!$C68:$AQ68,CA!$C$7:$AQ$7,H$6,CA!$C$8:$AQ$8,TRUE)</f>
        <v>0</v>
      </c>
      <c r="I67" s="23" cm="1">
        <f t="array" aca="1" ref="I67" ca="1">SUMIFS(Quantity!$C68:$AH68,Quantity!$C$7:$AH$7,J$6,Quantity!$C$8:$AH$8,TRUE)</f>
        <v>0</v>
      </c>
      <c r="J67" s="25" cm="1">
        <f t="array" aca="1" ref="J67" ca="1">SUMIFS(CA!$C68:$AQ68,CA!$C$7:$AQ$7,J$6,CA!$C$8:$AQ$8,TRUE)</f>
        <v>0</v>
      </c>
      <c r="K67" s="26" t="str" cm="1">
        <f t="array" ref="K67">IF(SUM(Quantity!O68:Z68)=0,"",SUM(Quantity!O68:Z68))</f>
        <v/>
      </c>
      <c r="L67" s="24" t="str" cm="1">
        <f t="array" ref="L67">IF(SUM(CA!O68:Z68)=0,"",SUM(CA!O68:Z68))</f>
        <v/>
      </c>
      <c r="M67" s="23" t="str" cm="1">
        <f t="array" ref="M67">IF(SUM(Quantity!C68:N68)=0,"",SUM(Quantity!C68:N68))</f>
        <v/>
      </c>
      <c r="N67" s="25" t="str" cm="1">
        <f t="array" ref="N67">IF(SUM(CA!C68:N68)=0,"",SUM(CA!C68:N68))</f>
        <v/>
      </c>
    </row>
    <row r="68" spans="1:14" x14ac:dyDescent="0.25">
      <c r="A68" s="1"/>
      <c r="B68" s="22" t="str" cm="1">
        <f t="array" ref="B68">Quantity!B69</f>
        <v>[BDE K 4661] Sérum positif Besnoïtia Besnoiti (historique)</v>
      </c>
      <c r="C68" s="23" cm="1">
        <f t="array" ref="C68">Quantity!O69</f>
        <v>0</v>
      </c>
      <c r="D68" s="24" cm="1">
        <f t="array" ref="D68">CA!O69</f>
        <v>0</v>
      </c>
      <c r="E68" s="23" cm="1">
        <f t="array" ref="E68">Quantity!C69</f>
        <v>0</v>
      </c>
      <c r="F68" s="25" cm="1">
        <f t="array" ref="F68">CA!C69</f>
        <v>0</v>
      </c>
      <c r="G68" s="26" cm="1">
        <f t="array" aca="1" ref="G68" ca="1">SUMIFS(Quantity!$C69:$AH69,Quantity!$C$7:$AH$7,H$6,Quantity!$C$8:$AH$8,TRUE)</f>
        <v>0</v>
      </c>
      <c r="H68" s="24" cm="1">
        <f t="array" aca="1" ref="H68" ca="1">SUMIFS(CA!$C69:$AQ69,CA!$C$7:$AQ$7,H$6,CA!$C$8:$AQ$8,TRUE)</f>
        <v>0</v>
      </c>
      <c r="I68" s="23" cm="1">
        <f t="array" aca="1" ref="I68" ca="1">SUMIFS(Quantity!$C69:$AH69,Quantity!$C$7:$AH$7,J$6,Quantity!$C$8:$AH$8,TRUE)</f>
        <v>0</v>
      </c>
      <c r="J68" s="25" cm="1">
        <f t="array" aca="1" ref="J68" ca="1">SUMIFS(CA!$C69:$AQ69,CA!$C$7:$AQ$7,J$6,CA!$C$8:$AQ$8,TRUE)</f>
        <v>0</v>
      </c>
      <c r="K68" s="26" t="str" cm="1">
        <f t="array" ref="K68">IF(SUM(Quantity!O69:Z69)=0,"",SUM(Quantity!O69:Z69))</f>
        <v/>
      </c>
      <c r="L68" s="24" t="str" cm="1">
        <f t="array" ref="L68">IF(SUM(CA!O69:Z69)=0,"",SUM(CA!O69:Z69))</f>
        <v/>
      </c>
      <c r="M68" s="23" t="str" cm="1">
        <f t="array" ref="M68">IF(SUM(Quantity!C69:N69)=0,"",SUM(Quantity!C69:N69))</f>
        <v/>
      </c>
      <c r="N68" s="25" t="str" cm="1">
        <f t="array" ref="N68">IF(SUM(CA!C69:N69)=0,"",SUM(CA!C69:N69))</f>
        <v/>
      </c>
    </row>
    <row r="69" spans="1:14" x14ac:dyDescent="0.25">
      <c r="A69" s="1"/>
      <c r="B69" s="22" t="str" cm="1">
        <f t="array" ref="B69">Quantity!B70</f>
        <v>[BDE K 466a] Sérum négatif Besnoïtia Besnoiti (historique)</v>
      </c>
      <c r="C69" s="23" cm="1">
        <f t="array" ref="C69">Quantity!O70</f>
        <v>0</v>
      </c>
      <c r="D69" s="24" cm="1">
        <f t="array" ref="D69">CA!O70</f>
        <v>0</v>
      </c>
      <c r="E69" s="23" cm="1">
        <f t="array" ref="E69">Quantity!C70</f>
        <v>0</v>
      </c>
      <c r="F69" s="25" cm="1">
        <f t="array" ref="F69">CA!C70</f>
        <v>0</v>
      </c>
      <c r="G69" s="26" cm="1">
        <f t="array" aca="1" ref="G69" ca="1">SUMIFS(Quantity!$C70:$AH70,Quantity!$C$7:$AH$7,H$6,Quantity!$C$8:$AH$8,TRUE)</f>
        <v>0</v>
      </c>
      <c r="H69" s="24" cm="1">
        <f t="array" aca="1" ref="H69" ca="1">SUMIFS(CA!$C70:$AQ70,CA!$C$7:$AQ$7,H$6,CA!$C$8:$AQ$8,TRUE)</f>
        <v>0</v>
      </c>
      <c r="I69" s="23" cm="1">
        <f t="array" aca="1" ref="I69" ca="1">SUMIFS(Quantity!$C70:$AH70,Quantity!$C$7:$AH$7,J$6,Quantity!$C$8:$AH$8,TRUE)</f>
        <v>0</v>
      </c>
      <c r="J69" s="25" cm="1">
        <f t="array" aca="1" ref="J69" ca="1">SUMIFS(CA!$C70:$AQ70,CA!$C$7:$AQ$7,J$6,CA!$C$8:$AQ$8,TRUE)</f>
        <v>0</v>
      </c>
      <c r="K69" s="26" t="str" cm="1">
        <f t="array" ref="K69">IF(SUM(Quantity!O70:Z70)=0,"",SUM(Quantity!O70:Z70))</f>
        <v/>
      </c>
      <c r="L69" s="24" t="str" cm="1">
        <f t="array" ref="L69">IF(SUM(CA!O70:Z70)=0,"",SUM(CA!O70:Z70))</f>
        <v/>
      </c>
      <c r="M69" s="23" t="str" cm="1">
        <f t="array" ref="M69">IF(SUM(Quantity!C70:N70)=0,"",SUM(Quantity!C70:N70))</f>
        <v/>
      </c>
      <c r="N69" s="25" t="str" cm="1">
        <f t="array" ref="N69">IF(SUM(CA!C70:N70)=0,"",SUM(CA!C70:N70))</f>
        <v/>
      </c>
    </row>
    <row r="70" spans="1:14" x14ac:dyDescent="0.25">
      <c r="A70" s="1"/>
      <c r="B70" s="22" t="str" cm="1">
        <f t="array" ref="B70">Quantity!B71</f>
        <v>[BIO 282] Moab a-VHSV IP5B11/protein N (Viral Haemorrhagic Septicaemia)</v>
      </c>
      <c r="C70" s="23" cm="1">
        <f t="array" ref="C70">Quantity!O71</f>
        <v>0</v>
      </c>
      <c r="D70" s="24" cm="1">
        <f t="array" ref="D70">CA!O71</f>
        <v>0</v>
      </c>
      <c r="E70" s="23" cm="1">
        <f t="array" ref="E70">Quantity!C71</f>
        <v>0</v>
      </c>
      <c r="F70" s="25" cm="1">
        <f t="array" ref="F70">CA!C71</f>
        <v>0</v>
      </c>
      <c r="G70" s="26" cm="1">
        <f t="array" aca="1" ref="G70" ca="1">SUMIFS(Quantity!$C71:$AH71,Quantity!$C$7:$AH$7,H$6,Quantity!$C$8:$AH$8,TRUE)</f>
        <v>0</v>
      </c>
      <c r="H70" s="24" cm="1">
        <f t="array" aca="1" ref="H70" ca="1">SUMIFS(CA!$C71:$AQ71,CA!$C$7:$AQ$7,H$6,CA!$C$8:$AQ$8,TRUE)</f>
        <v>0</v>
      </c>
      <c r="I70" s="23" cm="1">
        <f t="array" aca="1" ref="I70" ca="1">SUMIFS(Quantity!$C71:$AH71,Quantity!$C$7:$AH$7,J$6,Quantity!$C$8:$AH$8,TRUE)</f>
        <v>0</v>
      </c>
      <c r="J70" s="25" cm="1">
        <f t="array" aca="1" ref="J70" ca="1">SUMIFS(CA!$C71:$AQ71,CA!$C$7:$AQ$7,J$6,CA!$C$8:$AQ$8,TRUE)</f>
        <v>0</v>
      </c>
      <c r="K70" s="26" cm="1">
        <f t="array" ref="K70">IF(SUM(Quantity!O71:Z71)=0,"",SUM(Quantity!O71:Z71))</f>
        <v>1</v>
      </c>
      <c r="L70" s="24" cm="1">
        <f t="array" ref="L70">IF(SUM(CA!O71:Z71)=0,"",SUM(CA!O71:Z71))</f>
        <v>110.15</v>
      </c>
      <c r="M70" s="23" t="str" cm="1">
        <f t="array" ref="M70">IF(SUM(Quantity!C71:N71)=0,"",SUM(Quantity!C71:N71))</f>
        <v/>
      </c>
      <c r="N70" s="25" t="str" cm="1">
        <f t="array" ref="N70">IF(SUM(CA!C71:N71)=0,"",SUM(CA!C71:N71))</f>
        <v/>
      </c>
    </row>
    <row r="71" spans="1:14" x14ac:dyDescent="0.25">
      <c r="A71" s="1"/>
      <c r="B71" s="22" t="str" cm="1">
        <f t="array" ref="B71">Quantity!B72</f>
        <v>[BIO 285] Moab a-IHNV 136-3/protein N (Infectious Haematopoietic Necrosis)</v>
      </c>
      <c r="C71" s="23" cm="1">
        <f t="array" ref="C71">Quantity!O72</f>
        <v>0</v>
      </c>
      <c r="D71" s="24" cm="1">
        <f t="array" ref="D71">CA!O72</f>
        <v>0</v>
      </c>
      <c r="E71" s="23" cm="1">
        <f t="array" ref="E71">Quantity!C72</f>
        <v>0</v>
      </c>
      <c r="F71" s="25" cm="1">
        <f t="array" ref="F71">CA!C72</f>
        <v>0</v>
      </c>
      <c r="G71" s="26" cm="1">
        <f t="array" aca="1" ref="G71" ca="1">SUMIFS(Quantity!$C72:$AH72,Quantity!$C$7:$AH$7,H$6,Quantity!$C$8:$AH$8,TRUE)</f>
        <v>0</v>
      </c>
      <c r="H71" s="24" cm="1">
        <f t="array" aca="1" ref="H71" ca="1">SUMIFS(CA!$C72:$AQ72,CA!$C$7:$AQ$7,H$6,CA!$C$8:$AQ$8,TRUE)</f>
        <v>0</v>
      </c>
      <c r="I71" s="23" cm="1">
        <f t="array" aca="1" ref="I71" ca="1">SUMIFS(Quantity!$C72:$AH72,Quantity!$C$7:$AH$7,J$6,Quantity!$C$8:$AH$8,TRUE)</f>
        <v>0</v>
      </c>
      <c r="J71" s="25" cm="1">
        <f t="array" aca="1" ref="J71" ca="1">SUMIFS(CA!$C72:$AQ72,CA!$C$7:$AQ$7,J$6,CA!$C$8:$AQ$8,TRUE)</f>
        <v>0</v>
      </c>
      <c r="K71" s="26" cm="1">
        <f t="array" ref="K71">IF(SUM(Quantity!O72:Z72)=0,"",SUM(Quantity!O72:Z72))</f>
        <v>1</v>
      </c>
      <c r="L71" s="24" cm="1">
        <f t="array" ref="L71">IF(SUM(CA!O72:Z72)=0,"",SUM(CA!O72:Z72))</f>
        <v>116.71</v>
      </c>
      <c r="M71" s="23" t="str" cm="1">
        <f t="array" ref="M71">IF(SUM(Quantity!C72:N72)=0,"",SUM(Quantity!C72:N72))</f>
        <v/>
      </c>
      <c r="N71" s="25" t="str" cm="1">
        <f t="array" ref="N71">IF(SUM(CA!C72:N72)=0,"",SUM(CA!C72:N72))</f>
        <v/>
      </c>
    </row>
    <row r="72" spans="1:14" x14ac:dyDescent="0.25">
      <c r="A72" s="1"/>
      <c r="B72" s="22" t="str" cm="1">
        <f t="array" ref="B72">Quantity!B73</f>
        <v>[BIO 290] Moab a-BPI3</v>
      </c>
      <c r="C72" s="23" cm="1">
        <f t="array" ref="C72">Quantity!O73</f>
        <v>0</v>
      </c>
      <c r="D72" s="24" cm="1">
        <f t="array" ref="D72">CA!O73</f>
        <v>0</v>
      </c>
      <c r="E72" s="23" cm="1">
        <f t="array" ref="E72">Quantity!C73</f>
        <v>1</v>
      </c>
      <c r="F72" s="25" cm="1">
        <f t="array" ref="F72">CA!C73</f>
        <v>97.59</v>
      </c>
      <c r="G72" s="26" cm="1">
        <f t="array" aca="1" ref="G72" ca="1">SUMIFS(Quantity!$C73:$AH73,Quantity!$C$7:$AH$7,H$6,Quantity!$C$8:$AH$8,TRUE)</f>
        <v>0</v>
      </c>
      <c r="H72" s="24" cm="1">
        <f t="array" aca="1" ref="H72" ca="1">SUMIFS(CA!$C73:$AQ73,CA!$C$7:$AQ$7,H$6,CA!$C$8:$AQ$8,TRUE)</f>
        <v>0</v>
      </c>
      <c r="I72" s="23" cm="1">
        <f t="array" aca="1" ref="I72" ca="1">SUMIFS(Quantity!$C73:$AH73,Quantity!$C$7:$AH$7,J$6,Quantity!$C$8:$AH$8,TRUE)</f>
        <v>0</v>
      </c>
      <c r="J72" s="25" cm="1">
        <f t="array" aca="1" ref="J72" ca="1">SUMIFS(CA!$C73:$AQ73,CA!$C$7:$AQ$7,J$6,CA!$C$8:$AQ$8,TRUE)</f>
        <v>0</v>
      </c>
      <c r="K72" s="26" cm="1">
        <f t="array" ref="K72">IF(SUM(Quantity!O73:Z73)=0,"",SUM(Quantity!O73:Z73))</f>
        <v>1</v>
      </c>
      <c r="L72" s="24" cm="1">
        <f t="array" ref="L72">IF(SUM(CA!O73:Z73)=0,"",SUM(CA!O73:Z73))</f>
        <v>98.28</v>
      </c>
      <c r="M72" s="23" cm="1">
        <f t="array" ref="M72">IF(SUM(Quantity!C73:N73)=0,"",SUM(Quantity!C73:N73))</f>
        <v>2</v>
      </c>
      <c r="N72" s="25" cm="1">
        <f t="array" ref="N72">IF(SUM(CA!C73:N73)=0,"",SUM(CA!C73:N73))</f>
        <v>195.18</v>
      </c>
    </row>
    <row r="73" spans="1:14" x14ac:dyDescent="0.25">
      <c r="A73" s="1"/>
      <c r="B73" s="22" t="str" cm="1">
        <f t="array" ref="B73">Quantity!B74</f>
        <v>[BIO 292] Moab a-Adenovirus bovin de type 3 (historique)</v>
      </c>
      <c r="C73" s="23" cm="1">
        <f t="array" ref="C73">Quantity!O74</f>
        <v>0</v>
      </c>
      <c r="D73" s="24" cm="1">
        <f t="array" ref="D73">CA!O74</f>
        <v>0</v>
      </c>
      <c r="E73" s="23" cm="1">
        <f t="array" ref="E73">Quantity!C74</f>
        <v>0</v>
      </c>
      <c r="F73" s="25" cm="1">
        <f t="array" ref="F73">CA!C74</f>
        <v>0</v>
      </c>
      <c r="G73" s="26" cm="1">
        <f t="array" aca="1" ref="G73" ca="1">SUMIFS(Quantity!$C74:$AH74,Quantity!$C$7:$AH$7,H$6,Quantity!$C$8:$AH$8,TRUE)</f>
        <v>0</v>
      </c>
      <c r="H73" s="24" cm="1">
        <f t="array" aca="1" ref="H73" ca="1">SUMIFS(CA!$C74:$AQ74,CA!$C$7:$AQ$7,H$6,CA!$C$8:$AQ$8,TRUE)</f>
        <v>0</v>
      </c>
      <c r="I73" s="23" cm="1">
        <f t="array" aca="1" ref="I73" ca="1">SUMIFS(Quantity!$C74:$AH74,Quantity!$C$7:$AH$7,J$6,Quantity!$C$8:$AH$8,TRUE)</f>
        <v>0</v>
      </c>
      <c r="J73" s="25" cm="1">
        <f t="array" aca="1" ref="J73" ca="1">SUMIFS(CA!$C74:$AQ74,CA!$C$7:$AQ$7,J$6,CA!$C$8:$AQ$8,TRUE)</f>
        <v>0</v>
      </c>
      <c r="K73" s="26" t="str" cm="1">
        <f t="array" ref="K73">IF(SUM(Quantity!O74:Z74)=0,"",SUM(Quantity!O74:Z74))</f>
        <v/>
      </c>
      <c r="L73" s="24" t="str" cm="1">
        <f t="array" ref="L73">IF(SUM(CA!O74:Z74)=0,"",SUM(CA!O74:Z74))</f>
        <v/>
      </c>
      <c r="M73" s="23" t="str" cm="1">
        <f t="array" ref="M73">IF(SUM(Quantity!C74:N74)=0,"",SUM(Quantity!C74:N74))</f>
        <v/>
      </c>
      <c r="N73" s="25" t="str" cm="1">
        <f t="array" ref="N73">IF(SUM(CA!C74:N74)=0,"",SUM(CA!C74:N74))</f>
        <v/>
      </c>
    </row>
    <row r="74" spans="1:14" x14ac:dyDescent="0.25">
      <c r="A74" s="1"/>
      <c r="B74" s="22" t="str" cm="1">
        <f t="array" ref="B74">Quantity!B75</f>
        <v>[BIO 295] Moab a-BVDV</v>
      </c>
      <c r="C74" s="23" cm="1">
        <f t="array" ref="C74">Quantity!O75</f>
        <v>0</v>
      </c>
      <c r="D74" s="24" cm="1">
        <f t="array" ref="D74">CA!O75</f>
        <v>0</v>
      </c>
      <c r="E74" s="23" cm="1">
        <f t="array" ref="E74">Quantity!C75</f>
        <v>0</v>
      </c>
      <c r="F74" s="25" cm="1">
        <f t="array" ref="F74">CA!C75</f>
        <v>0</v>
      </c>
      <c r="G74" s="26" cm="1">
        <f t="array" aca="1" ref="G74" ca="1">SUMIFS(Quantity!$C75:$AH75,Quantity!$C$7:$AH$7,H$6,Quantity!$C$8:$AH$8,TRUE)</f>
        <v>0</v>
      </c>
      <c r="H74" s="24" cm="1">
        <f t="array" aca="1" ref="H74" ca="1">SUMIFS(CA!$C75:$AQ75,CA!$C$7:$AQ$7,H$6,CA!$C$8:$AQ$8,TRUE)</f>
        <v>0</v>
      </c>
      <c r="I74" s="23" cm="1">
        <f t="array" aca="1" ref="I74" ca="1">SUMIFS(Quantity!$C75:$AH75,Quantity!$C$7:$AH$7,J$6,Quantity!$C$8:$AH$8,TRUE)</f>
        <v>0</v>
      </c>
      <c r="J74" s="25" cm="1">
        <f t="array" aca="1" ref="J74" ca="1">SUMIFS(CA!$C75:$AQ75,CA!$C$7:$AQ$7,J$6,CA!$C$8:$AQ$8,TRUE)</f>
        <v>0</v>
      </c>
      <c r="K74" s="26" t="str" cm="1">
        <f t="array" ref="K74">IF(SUM(Quantity!O75:Z75)=0,"",SUM(Quantity!O75:Z75))</f>
        <v/>
      </c>
      <c r="L74" s="24" t="str" cm="1">
        <f t="array" ref="L74">IF(SUM(CA!O75:Z75)=0,"",SUM(CA!O75:Z75))</f>
        <v/>
      </c>
      <c r="M74" s="23" t="str" cm="1">
        <f t="array" ref="M74">IF(SUM(Quantity!C75:N75)=0,"",SUM(Quantity!C75:N75))</f>
        <v/>
      </c>
      <c r="N74" s="25" t="str" cm="1">
        <f t="array" ref="N74">IF(SUM(CA!C75:N75)=0,"",SUM(CA!C75:N75))</f>
        <v/>
      </c>
    </row>
    <row r="75" spans="1:14" x14ac:dyDescent="0.25">
      <c r="A75" s="1"/>
      <c r="B75" s="22" t="str" cm="1">
        <f t="array" ref="B75">Quantity!B76</f>
        <v>[BIO K 004/2] Monoscreen AbELISA BVDV (NS3) (historique)</v>
      </c>
      <c r="C75" s="23" cm="1">
        <f t="array" ref="C75">Quantity!O76</f>
        <v>0</v>
      </c>
      <c r="D75" s="24" cm="1">
        <f t="array" ref="D75">CA!O76</f>
        <v>0</v>
      </c>
      <c r="E75" s="23" cm="1">
        <f t="array" ref="E75">Quantity!C76</f>
        <v>0</v>
      </c>
      <c r="F75" s="25" cm="1">
        <f t="array" ref="F75">CA!C76</f>
        <v>0</v>
      </c>
      <c r="G75" s="26" cm="1">
        <f t="array" aca="1" ref="G75" ca="1">SUMIFS(Quantity!$C76:$AH76,Quantity!$C$7:$AH$7,H$6,Quantity!$C$8:$AH$8,TRUE)</f>
        <v>0</v>
      </c>
      <c r="H75" s="24" cm="1">
        <f t="array" aca="1" ref="H75" ca="1">SUMIFS(CA!$C76:$AQ76,CA!$C$7:$AQ$7,H$6,CA!$C$8:$AQ$8,TRUE)</f>
        <v>0</v>
      </c>
      <c r="I75" s="23" cm="1">
        <f t="array" aca="1" ref="I75" ca="1">SUMIFS(Quantity!$C76:$AH76,Quantity!$C$7:$AH$7,J$6,Quantity!$C$8:$AH$8,TRUE)</f>
        <v>0</v>
      </c>
      <c r="J75" s="25" cm="1">
        <f t="array" aca="1" ref="J75" ca="1">SUMIFS(CA!$C76:$AQ76,CA!$C$7:$AQ$7,J$6,CA!$C$8:$AQ$8,TRUE)</f>
        <v>0</v>
      </c>
      <c r="K75" s="26" t="str" cm="1">
        <f t="array" ref="K75">IF(SUM(Quantity!O76:Z76)=0,"",SUM(Quantity!O76:Z76))</f>
        <v/>
      </c>
      <c r="L75" s="24" t="str" cm="1">
        <f t="array" ref="L75">IF(SUM(CA!O76:Z76)=0,"",SUM(CA!O76:Z76))</f>
        <v/>
      </c>
      <c r="M75" s="23" t="str" cm="1">
        <f t="array" ref="M75">IF(SUM(Quantity!C76:N76)=0,"",SUM(Quantity!C76:N76))</f>
        <v/>
      </c>
      <c r="N75" s="25" t="str" cm="1">
        <f t="array" ref="N75">IF(SUM(CA!C76:N76)=0,"",SUM(CA!C76:N76))</f>
        <v/>
      </c>
    </row>
    <row r="76" spans="1:14" x14ac:dyDescent="0.25">
      <c r="A76" s="1"/>
      <c r="B76" s="22" t="str" cm="1">
        <f t="array" ref="B76">Quantity!B77</f>
        <v>[BIO K 139/2] Monoscreen AbELISA Mannheimia haemolytica</v>
      </c>
      <c r="C76" s="23" cm="1">
        <f t="array" ref="C76">Quantity!O77</f>
        <v>5</v>
      </c>
      <c r="D76" s="24" cm="1">
        <f t="array" ref="D76">CA!O77</f>
        <v>1824.5</v>
      </c>
      <c r="E76" s="23" cm="1">
        <f t="array" ref="E76">Quantity!C77</f>
        <v>0</v>
      </c>
      <c r="F76" s="25" cm="1">
        <f t="array" ref="F76">CA!C77</f>
        <v>0</v>
      </c>
      <c r="G76" s="26" cm="1">
        <f t="array" aca="1" ref="G76" ca="1">SUMIFS(Quantity!$C77:$AH77,Quantity!$C$7:$AH$7,H$6,Quantity!$C$8:$AH$8,TRUE)</f>
        <v>0</v>
      </c>
      <c r="H76" s="24" cm="1">
        <f t="array" aca="1" ref="H76" ca="1">SUMIFS(CA!$C77:$AQ77,CA!$C$7:$AQ$7,H$6,CA!$C$8:$AQ$8,TRUE)</f>
        <v>0</v>
      </c>
      <c r="I76" s="23" cm="1">
        <f t="array" aca="1" ref="I76" ca="1">SUMIFS(Quantity!$C77:$AH77,Quantity!$C$7:$AH$7,J$6,Quantity!$C$8:$AH$8,TRUE)</f>
        <v>0</v>
      </c>
      <c r="J76" s="25" cm="1">
        <f t="array" aca="1" ref="J76" ca="1">SUMIFS(CA!$C77:$AQ77,CA!$C$7:$AQ$7,J$6,CA!$C$8:$AQ$8,TRUE)</f>
        <v>0</v>
      </c>
      <c r="K76" s="26" cm="1">
        <f t="array" ref="K76">IF(SUM(Quantity!O77:Z77)=0,"",SUM(Quantity!O77:Z77))</f>
        <v>5</v>
      </c>
      <c r="L76" s="24" cm="1">
        <f t="array" ref="L76">IF(SUM(CA!O77:Z77)=0,"",SUM(CA!O77:Z77))</f>
        <v>1824.5</v>
      </c>
      <c r="M76" s="23" t="str" cm="1">
        <f t="array" ref="M76">IF(SUM(Quantity!C77:N77)=0,"",SUM(Quantity!C77:N77))</f>
        <v/>
      </c>
      <c r="N76" s="25" t="str" cm="1">
        <f t="array" ref="N76">IF(SUM(CA!C77:N77)=0,"",SUM(CA!C77:N77))</f>
        <v/>
      </c>
    </row>
    <row r="77" spans="1:14" x14ac:dyDescent="0.25">
      <c r="A77" s="1"/>
      <c r="B77" s="22" t="str" cm="1">
        <f t="array" ref="B77">Quantity!B78</f>
        <v>[BIO K 151/1] Multiscreen AgELISA Calf digestive</v>
      </c>
      <c r="C77" s="23" cm="1">
        <f t="array" ref="C77">Quantity!O78</f>
        <v>2</v>
      </c>
      <c r="D77" s="24" cm="1">
        <f t="array" ref="D77">CA!O78</f>
        <v>315.27999999999997</v>
      </c>
      <c r="E77" s="23" cm="1">
        <f t="array" ref="E77">Quantity!C78</f>
        <v>2</v>
      </c>
      <c r="F77" s="25" cm="1">
        <f t="array" ref="F77">CA!C78</f>
        <v>313.08</v>
      </c>
      <c r="G77" s="26" cm="1">
        <f t="array" aca="1" ref="G77" ca="1">SUMIFS(Quantity!$C78:$AH78,Quantity!$C$7:$AH$7,H$6,Quantity!$C$8:$AH$8,TRUE)</f>
        <v>0</v>
      </c>
      <c r="H77" s="24" cm="1">
        <f t="array" aca="1" ref="H77" ca="1">SUMIFS(CA!$C78:$AQ78,CA!$C$7:$AQ$7,H$6,CA!$C$8:$AQ$8,TRUE)</f>
        <v>0</v>
      </c>
      <c r="I77" s="23" cm="1">
        <f t="array" aca="1" ref="I77" ca="1">SUMIFS(Quantity!$C78:$AH78,Quantity!$C$7:$AH$7,J$6,Quantity!$C$8:$AH$8,TRUE)</f>
        <v>0</v>
      </c>
      <c r="J77" s="25" cm="1">
        <f t="array" aca="1" ref="J77" ca="1">SUMIFS(CA!$C78:$AQ78,CA!$C$7:$AQ$7,J$6,CA!$C$8:$AQ$8,TRUE)</f>
        <v>0</v>
      </c>
      <c r="K77" s="26" cm="1">
        <f t="array" ref="K77">IF(SUM(Quantity!O78:Z78)=0,"",SUM(Quantity!O78:Z78))</f>
        <v>6</v>
      </c>
      <c r="L77" s="24" cm="1">
        <f t="array" ref="L77">IF(SUM(CA!O78:Z78)=0,"",SUM(CA!O78:Z78))</f>
        <v>945.83999999999992</v>
      </c>
      <c r="M77" s="23" cm="1">
        <f t="array" ref="M77">IF(SUM(Quantity!C78:N78)=0,"",SUM(Quantity!C78:N78))</f>
        <v>3</v>
      </c>
      <c r="N77" s="25" cm="1">
        <f t="array" ref="N77">IF(SUM(CA!C78:N78)=0,"",SUM(CA!C78:N78))</f>
        <v>469.62</v>
      </c>
    </row>
    <row r="78" spans="1:14" x14ac:dyDescent="0.25">
      <c r="A78" s="1"/>
      <c r="B78" s="22" t="str" cm="1">
        <f t="array" ref="B78">Quantity!B79</f>
        <v>[BIO K 192/2] Monoscreen AbELISA Neospora caninum (SRS2)</v>
      </c>
      <c r="C78" s="23" cm="1">
        <f t="array" ref="C78">Quantity!O79</f>
        <v>0</v>
      </c>
      <c r="D78" s="24" cm="1">
        <f t="array" ref="D78">CA!O79</f>
        <v>0</v>
      </c>
      <c r="E78" s="23" cm="1">
        <f t="array" ref="E78">Quantity!C79</f>
        <v>0</v>
      </c>
      <c r="F78" s="25" cm="1">
        <f t="array" ref="F78">CA!C79</f>
        <v>0</v>
      </c>
      <c r="G78" s="26" cm="1">
        <f t="array" aca="1" ref="G78" ca="1">SUMIFS(Quantity!$C79:$AH79,Quantity!$C$7:$AH$7,H$6,Quantity!$C$8:$AH$8,TRUE)</f>
        <v>0</v>
      </c>
      <c r="H78" s="24" cm="1">
        <f t="array" aca="1" ref="H78" ca="1">SUMIFS(CA!$C79:$AQ79,CA!$C$7:$AQ$7,H$6,CA!$C$8:$AQ$8,TRUE)</f>
        <v>0</v>
      </c>
      <c r="I78" s="23" cm="1">
        <f t="array" aca="1" ref="I78" ca="1">SUMIFS(Quantity!$C79:$AH79,Quantity!$C$7:$AH$7,J$6,Quantity!$C$8:$AH$8,TRUE)</f>
        <v>0</v>
      </c>
      <c r="J78" s="25" cm="1">
        <f t="array" aca="1" ref="J78" ca="1">SUMIFS(CA!$C79:$AQ79,CA!$C$7:$AQ$7,J$6,CA!$C$8:$AQ$8,TRUE)</f>
        <v>0</v>
      </c>
      <c r="K78" s="26" cm="1">
        <f t="array" ref="K78">IF(SUM(Quantity!O79:Z79)=0,"",SUM(Quantity!O79:Z79))</f>
        <v>3</v>
      </c>
      <c r="L78" s="24" cm="1">
        <f t="array" ref="L78">IF(SUM(CA!O79:Z79)=0,"",SUM(CA!O79:Z79))</f>
        <v>659.9</v>
      </c>
      <c r="M78" s="23" t="str" cm="1">
        <f t="array" ref="M78">IF(SUM(Quantity!C79:N79)=0,"",SUM(Quantity!C79:N79))</f>
        <v/>
      </c>
      <c r="N78" s="25" t="str" cm="1">
        <f t="array" ref="N78">IF(SUM(CA!C79:N79)=0,"",SUM(CA!C79:N79))</f>
        <v/>
      </c>
    </row>
    <row r="79" spans="1:14" x14ac:dyDescent="0.25">
      <c r="A79" s="1"/>
      <c r="B79" s="22" t="str" cm="1">
        <f t="array" ref="B79">Quantity!B80</f>
        <v>[BIO K 192/5] Monoscreen AbELISA Neospora caninum (SRS2)</v>
      </c>
      <c r="C79" s="23" cm="1">
        <f t="array" ref="C79">Quantity!O80</f>
        <v>0</v>
      </c>
      <c r="D79" s="24" cm="1">
        <f t="array" ref="D79">CA!O80</f>
        <v>0</v>
      </c>
      <c r="E79" s="23" cm="1">
        <f t="array" ref="E79">Quantity!C80</f>
        <v>0</v>
      </c>
      <c r="F79" s="25" cm="1">
        <f t="array" ref="F79">CA!C80</f>
        <v>0</v>
      </c>
      <c r="G79" s="26" cm="1">
        <f t="array" aca="1" ref="G79" ca="1">SUMIFS(Quantity!$C80:$AH80,Quantity!$C$7:$AH$7,H$6,Quantity!$C$8:$AH$8,TRUE)</f>
        <v>0</v>
      </c>
      <c r="H79" s="24" cm="1">
        <f t="array" aca="1" ref="H79" ca="1">SUMIFS(CA!$C80:$AQ80,CA!$C$7:$AQ$7,H$6,CA!$C$8:$AQ$8,TRUE)</f>
        <v>0</v>
      </c>
      <c r="I79" s="23" cm="1">
        <f t="array" aca="1" ref="I79" ca="1">SUMIFS(Quantity!$C80:$AH80,Quantity!$C$7:$AH$7,J$6,Quantity!$C$8:$AH$8,TRUE)</f>
        <v>0</v>
      </c>
      <c r="J79" s="25" cm="1">
        <f t="array" aca="1" ref="J79" ca="1">SUMIFS(CA!$C80:$AQ80,CA!$C$7:$AQ$7,J$6,CA!$C$8:$AQ$8,TRUE)</f>
        <v>0</v>
      </c>
      <c r="K79" s="26" t="str" cm="1">
        <f t="array" ref="K79">IF(SUM(Quantity!O80:Z80)=0,"",SUM(Quantity!O80:Z80))</f>
        <v/>
      </c>
      <c r="L79" s="24" t="str" cm="1">
        <f t="array" ref="L79">IF(SUM(CA!O80:Z80)=0,"",SUM(CA!O80:Z80))</f>
        <v/>
      </c>
      <c r="M79" s="23" t="str" cm="1">
        <f t="array" ref="M79">IF(SUM(Quantity!C80:N80)=0,"",SUM(Quantity!C80:N80))</f>
        <v/>
      </c>
      <c r="N79" s="25" t="str" cm="1">
        <f t="array" ref="N79">IF(SUM(CA!C80:N80)=0,"",SUM(CA!C80:N80))</f>
        <v/>
      </c>
    </row>
    <row r="80" spans="1:14" x14ac:dyDescent="0.25">
      <c r="A80" s="1"/>
      <c r="B80" s="22" t="str" cm="1">
        <f t="array" ref="B80">Quantity!B81</f>
        <v>[BIO K 243/2] Multiscreen AbELISA Bovine respiratory / indirect, double wells</v>
      </c>
      <c r="C80" s="23" cm="1">
        <f t="array" ref="C80">Quantity!O81</f>
        <v>7</v>
      </c>
      <c r="D80" s="24" cm="1">
        <f t="array" ref="D80">CA!O81</f>
        <v>1631.7</v>
      </c>
      <c r="E80" s="23" cm="1">
        <f t="array" ref="E80">Quantity!C81</f>
        <v>0</v>
      </c>
      <c r="F80" s="25" cm="1">
        <f t="array" ref="F80">CA!C81</f>
        <v>0</v>
      </c>
      <c r="G80" s="26" cm="1">
        <f t="array" aca="1" ref="G80" ca="1">SUMIFS(Quantity!$C81:$AH81,Quantity!$C$7:$AH$7,H$6,Quantity!$C$8:$AH$8,TRUE)</f>
        <v>0</v>
      </c>
      <c r="H80" s="24" cm="1">
        <f t="array" aca="1" ref="H80" ca="1">SUMIFS(CA!$C81:$AQ81,CA!$C$7:$AQ$7,H$6,CA!$C$8:$AQ$8,TRUE)</f>
        <v>0</v>
      </c>
      <c r="I80" s="23" cm="1">
        <f t="array" aca="1" ref="I80" ca="1">SUMIFS(Quantity!$C81:$AH81,Quantity!$C$7:$AH$7,J$6,Quantity!$C$8:$AH$8,TRUE)</f>
        <v>0</v>
      </c>
      <c r="J80" s="25" cm="1">
        <f t="array" aca="1" ref="J80" ca="1">SUMIFS(CA!$C81:$AQ81,CA!$C$7:$AQ$7,J$6,CA!$C$8:$AQ$8,TRUE)</f>
        <v>0</v>
      </c>
      <c r="K80" s="26" cm="1">
        <f t="array" ref="K80">IF(SUM(Quantity!O81:Z81)=0,"",SUM(Quantity!O81:Z81))</f>
        <v>13</v>
      </c>
      <c r="L80" s="24" cm="1">
        <f t="array" ref="L80">IF(SUM(CA!O81:Z81)=0,"",SUM(CA!O81:Z81))</f>
        <v>2981.7</v>
      </c>
      <c r="M80" s="23" cm="1">
        <f t="array" ref="M80">IF(SUM(Quantity!C81:N81)=0,"",SUM(Quantity!C81:N81))</f>
        <v>8</v>
      </c>
      <c r="N80" s="25" cm="1">
        <f t="array" ref="N80">IF(SUM(CA!C81:N81)=0,"",SUM(CA!C81:N81))</f>
        <v>1886.4</v>
      </c>
    </row>
    <row r="81" spans="1:14" x14ac:dyDescent="0.25">
      <c r="A81" s="1"/>
      <c r="B81" s="22" t="str" cm="1">
        <f t="array" ref="B81">Quantity!B82</f>
        <v>[BIO K 315/1] Multiscreen AgELISA Calf digestive</v>
      </c>
      <c r="C81" s="23" cm="1">
        <f t="array" ref="C81">Quantity!O82</f>
        <v>0</v>
      </c>
      <c r="D81" s="24" cm="1">
        <f t="array" ref="D81">CA!O82</f>
        <v>0</v>
      </c>
      <c r="E81" s="23" cm="1">
        <f t="array" ref="E81">Quantity!C82</f>
        <v>1</v>
      </c>
      <c r="F81" s="25" cm="1">
        <f t="array" ref="F81">CA!C82</f>
        <v>146.75</v>
      </c>
      <c r="G81" s="26" cm="1">
        <f t="array" aca="1" ref="G81" ca="1">SUMIFS(Quantity!$C82:$AH82,Quantity!$C$7:$AH$7,H$6,Quantity!$C$8:$AH$8,TRUE)</f>
        <v>0</v>
      </c>
      <c r="H81" s="24" cm="1">
        <f t="array" aca="1" ref="H81" ca="1">SUMIFS(CA!$C82:$AQ82,CA!$C$7:$AQ$7,H$6,CA!$C$8:$AQ$8,TRUE)</f>
        <v>0</v>
      </c>
      <c r="I81" s="23" cm="1">
        <f t="array" aca="1" ref="I81" ca="1">SUMIFS(Quantity!$C82:$AH82,Quantity!$C$7:$AH$7,J$6,Quantity!$C$8:$AH$8,TRUE)</f>
        <v>0</v>
      </c>
      <c r="J81" s="25" cm="1">
        <f t="array" aca="1" ref="J81" ca="1">SUMIFS(CA!$C82:$AQ82,CA!$C$7:$AQ$7,J$6,CA!$C$8:$AQ$8,TRUE)</f>
        <v>0</v>
      </c>
      <c r="K81" s="26" cm="1">
        <f t="array" ref="K81">IF(SUM(Quantity!O82:Z82)=0,"",SUM(Quantity!O82:Z82))</f>
        <v>6</v>
      </c>
      <c r="L81" s="24" cm="1">
        <f t="array" ref="L81">IF(SUM(CA!O82:Z82)=0,"",SUM(CA!O82:Z82))</f>
        <v>886.68000000000006</v>
      </c>
      <c r="M81" s="23" cm="1">
        <f t="array" ref="M81">IF(SUM(Quantity!C82:N82)=0,"",SUM(Quantity!C82:N82))</f>
        <v>12</v>
      </c>
      <c r="N81" s="25" cm="1">
        <f t="array" ref="N81">IF(SUM(CA!C82:N82)=0,"",SUM(CA!C82:N82))</f>
        <v>1761</v>
      </c>
    </row>
    <row r="82" spans="1:14" x14ac:dyDescent="0.25">
      <c r="A82" s="1"/>
      <c r="B82" s="22" t="str" cm="1">
        <f t="array" ref="B82">Quantity!B83</f>
        <v>[BIO K 315/2] Multiscreen AgELISA Digestif veau (historique)</v>
      </c>
      <c r="C82" s="23" cm="1">
        <f t="array" ref="C82">Quantity!O83</f>
        <v>0</v>
      </c>
      <c r="D82" s="24" cm="1">
        <f t="array" ref="D82">CA!O83</f>
        <v>0</v>
      </c>
      <c r="E82" s="23" cm="1">
        <f t="array" ref="E82">Quantity!C83</f>
        <v>0</v>
      </c>
      <c r="F82" s="25" cm="1">
        <f t="array" ref="F82">CA!C83</f>
        <v>0</v>
      </c>
      <c r="G82" s="26" cm="1">
        <f t="array" aca="1" ref="G82" ca="1">SUMIFS(Quantity!$C83:$AH83,Quantity!$C$7:$AH$7,H$6,Quantity!$C$8:$AH$8,TRUE)</f>
        <v>0</v>
      </c>
      <c r="H82" s="24" cm="1">
        <f t="array" aca="1" ref="H82" ca="1">SUMIFS(CA!$C83:$AQ83,CA!$C$7:$AQ$7,H$6,CA!$C$8:$AQ$8,TRUE)</f>
        <v>0</v>
      </c>
      <c r="I82" s="23" cm="1">
        <f t="array" aca="1" ref="I82" ca="1">SUMIFS(Quantity!$C83:$AH83,Quantity!$C$7:$AH$7,J$6,Quantity!$C$8:$AH$8,TRUE)</f>
        <v>0</v>
      </c>
      <c r="J82" s="25" cm="1">
        <f t="array" aca="1" ref="J82" ca="1">SUMIFS(CA!$C83:$AQ83,CA!$C$7:$AQ$7,J$6,CA!$C$8:$AQ$8,TRUE)</f>
        <v>0</v>
      </c>
      <c r="K82" s="26" t="str" cm="1">
        <f t="array" ref="K82">IF(SUM(Quantity!O83:Z83)=0,"",SUM(Quantity!O83:Z83))</f>
        <v/>
      </c>
      <c r="L82" s="24" t="str" cm="1">
        <f t="array" ref="L82">IF(SUM(CA!O83:Z83)=0,"",SUM(CA!O83:Z83))</f>
        <v/>
      </c>
      <c r="M82" s="23" t="str" cm="1">
        <f t="array" ref="M82">IF(SUM(Quantity!C83:N83)=0,"",SUM(Quantity!C83:N83))</f>
        <v/>
      </c>
      <c r="N82" s="25" t="str" cm="1">
        <f t="array" ref="N82">IF(SUM(CA!C83:N83)=0,"",SUM(CA!C83:N83))</f>
        <v/>
      </c>
    </row>
    <row r="83" spans="1:14" x14ac:dyDescent="0.25">
      <c r="A83" s="1"/>
      <c r="B83" s="22" t="str" cm="1">
        <f t="array" ref="B83">Quantity!B84</f>
        <v>[BIO K 347/2] Multiscreen AgELISA Calf digestive</v>
      </c>
      <c r="C83" s="23" cm="1">
        <f t="array" ref="C83">Quantity!O84</f>
        <v>3</v>
      </c>
      <c r="D83" s="24" cm="1">
        <f t="array" ref="D83">CA!O84</f>
        <v>532.02</v>
      </c>
      <c r="E83" s="23" cm="1">
        <f t="array" ref="E83">Quantity!C84</f>
        <v>0</v>
      </c>
      <c r="F83" s="25" cm="1">
        <f t="array" ref="F83">CA!C84</f>
        <v>0</v>
      </c>
      <c r="G83" s="26" cm="1">
        <f t="array" aca="1" ref="G83" ca="1">SUMIFS(Quantity!$C84:$AH84,Quantity!$C$7:$AH$7,H$6,Quantity!$C$8:$AH$8,TRUE)</f>
        <v>0</v>
      </c>
      <c r="H83" s="24" cm="1">
        <f t="array" aca="1" ref="H83" ca="1">SUMIFS(CA!$C84:$AQ84,CA!$C$7:$AQ$7,H$6,CA!$C$8:$AQ$8,TRUE)</f>
        <v>0</v>
      </c>
      <c r="I83" s="23" cm="1">
        <f t="array" aca="1" ref="I83" ca="1">SUMIFS(Quantity!$C84:$AH84,Quantity!$C$7:$AH$7,J$6,Quantity!$C$8:$AH$8,TRUE)</f>
        <v>0</v>
      </c>
      <c r="J83" s="25" cm="1">
        <f t="array" aca="1" ref="J83" ca="1">SUMIFS(CA!$C84:$AQ84,CA!$C$7:$AQ$7,J$6,CA!$C$8:$AQ$8,TRUE)</f>
        <v>0</v>
      </c>
      <c r="K83" s="26" cm="1">
        <f t="array" ref="K83">IF(SUM(Quantity!O84:Z84)=0,"",SUM(Quantity!O84:Z84))</f>
        <v>12</v>
      </c>
      <c r="L83" s="24" cm="1">
        <f t="array" ref="L83">IF(SUM(CA!O84:Z84)=0,"",SUM(CA!O84:Z84))</f>
        <v>2128.08</v>
      </c>
      <c r="M83" s="23" cm="1">
        <f t="array" ref="M83">IF(SUM(Quantity!C84:N84)=0,"",SUM(Quantity!C84:N84))</f>
        <v>10</v>
      </c>
      <c r="N83" s="25" cm="1">
        <f t="array" ref="N83">IF(SUM(CA!C84:N84)=0,"",SUM(CA!C84:N84))</f>
        <v>1760.9999999999998</v>
      </c>
    </row>
    <row r="84" spans="1:14" x14ac:dyDescent="0.25">
      <c r="A84" s="1"/>
      <c r="B84" s="22" t="str" cm="1">
        <f t="array" ref="B84">Quantity!B85</f>
        <v>[BIO K 369/2] Multiscreen AbELISA Bovine respiratory / indirect, double wells</v>
      </c>
      <c r="C84" s="23" cm="1">
        <f t="array" ref="C84">Quantity!O85</f>
        <v>0</v>
      </c>
      <c r="D84" s="24" cm="1">
        <f t="array" ref="D84">CA!O85</f>
        <v>0</v>
      </c>
      <c r="E84" s="23" cm="1">
        <f t="array" ref="E84">Quantity!C85</f>
        <v>0</v>
      </c>
      <c r="F84" s="25" cm="1">
        <f t="array" ref="F84">CA!C85</f>
        <v>0</v>
      </c>
      <c r="G84" s="26" cm="1">
        <f t="array" aca="1" ref="G84" ca="1">SUMIFS(Quantity!$C85:$AH85,Quantity!$C$7:$AH$7,H$6,Quantity!$C$8:$AH$8,TRUE)</f>
        <v>0</v>
      </c>
      <c r="H84" s="24" cm="1">
        <f t="array" aca="1" ref="H84" ca="1">SUMIFS(CA!$C85:$AQ85,CA!$C$7:$AQ$7,H$6,CA!$C$8:$AQ$8,TRUE)</f>
        <v>0</v>
      </c>
      <c r="I84" s="23" cm="1">
        <f t="array" aca="1" ref="I84" ca="1">SUMIFS(Quantity!$C85:$AH85,Quantity!$C$7:$AH$7,J$6,Quantity!$C$8:$AH$8,TRUE)</f>
        <v>0</v>
      </c>
      <c r="J84" s="25" cm="1">
        <f t="array" aca="1" ref="J84" ca="1">SUMIFS(CA!$C85:$AQ85,CA!$C$7:$AQ$7,J$6,CA!$C$8:$AQ$8,TRUE)</f>
        <v>0</v>
      </c>
      <c r="K84" s="26" cm="1">
        <f t="array" ref="K84">IF(SUM(Quantity!O85:Z85)=0,"",SUM(Quantity!O85:Z85))</f>
        <v>11</v>
      </c>
      <c r="L84" s="24" cm="1">
        <f t="array" ref="L84">IF(SUM(CA!O85:Z85)=0,"",SUM(CA!O85:Z85))</f>
        <v>2850.7</v>
      </c>
      <c r="M84" s="23" cm="1">
        <f t="array" ref="M84">IF(SUM(Quantity!C85:N85)=0,"",SUM(Quantity!C85:N85))</f>
        <v>3</v>
      </c>
      <c r="N84" s="25" cm="1">
        <f t="array" ref="N84">IF(SUM(CA!C85:N85)=0,"",SUM(CA!C85:N85))</f>
        <v>786</v>
      </c>
    </row>
    <row r="85" spans="1:14" x14ac:dyDescent="0.25">
      <c r="A85" s="1"/>
      <c r="B85" s="22" t="str" cm="1">
        <f t="array" ref="B85">Quantity!B86</f>
        <v>[BIO K 447/2] Monoscreen AbELISA Ascaris suum</v>
      </c>
      <c r="C85" s="23" cm="1">
        <f t="array" ref="C85">Quantity!O86</f>
        <v>0</v>
      </c>
      <c r="D85" s="24" cm="1">
        <f t="array" ref="D85">CA!O86</f>
        <v>0</v>
      </c>
      <c r="E85" s="23" cm="1">
        <f t="array" ref="E85">Quantity!C86</f>
        <v>0</v>
      </c>
      <c r="F85" s="25" cm="1">
        <f t="array" ref="F85">CA!C86</f>
        <v>0</v>
      </c>
      <c r="G85" s="26" cm="1">
        <f t="array" aca="1" ref="G85" ca="1">SUMIFS(Quantity!$C86:$AH86,Quantity!$C$7:$AH$7,H$6,Quantity!$C$8:$AH$8,TRUE)</f>
        <v>0</v>
      </c>
      <c r="H85" s="24" cm="1">
        <f t="array" aca="1" ref="H85" ca="1">SUMIFS(CA!$C86:$AQ86,CA!$C$7:$AQ$7,H$6,CA!$C$8:$AQ$8,TRUE)</f>
        <v>0</v>
      </c>
      <c r="I85" s="23" cm="1">
        <f t="array" aca="1" ref="I85" ca="1">SUMIFS(Quantity!$C86:$AH86,Quantity!$C$7:$AH$7,J$6,Quantity!$C$8:$AH$8,TRUE)</f>
        <v>0</v>
      </c>
      <c r="J85" s="25" cm="1">
        <f t="array" aca="1" ref="J85" ca="1">SUMIFS(CA!$C86:$AQ86,CA!$C$7:$AQ$7,J$6,CA!$C$8:$AQ$8,TRUE)</f>
        <v>0</v>
      </c>
      <c r="K85" s="26" cm="1">
        <f t="array" ref="K85">IF(SUM(Quantity!O86:Z86)=0,"",SUM(Quantity!O86:Z86))</f>
        <v>1</v>
      </c>
      <c r="L85" s="24" cm="1">
        <f t="array" ref="L85">IF(SUM(CA!O86:Z86)=0,"",SUM(CA!O86:Z86))</f>
        <v>365</v>
      </c>
      <c r="M85" s="23" t="str" cm="1">
        <f t="array" ref="M85">IF(SUM(Quantity!C86:N86)=0,"",SUM(Quantity!C86:N86))</f>
        <v/>
      </c>
      <c r="N85" s="25" t="str" cm="1">
        <f t="array" ref="N85">IF(SUM(CA!C86:N86)=0,"",SUM(CA!C86:N86))</f>
        <v/>
      </c>
    </row>
    <row r="86" spans="1:14" x14ac:dyDescent="0.25">
      <c r="A86" s="1"/>
      <c r="B86" s="22" t="str" cm="1">
        <f t="array" ref="B86">Quantity!B87</f>
        <v>[BIO K 466/2] Monoscreen AbELISA Besnoitia besnoiti</v>
      </c>
      <c r="C86" s="23" cm="1">
        <f t="array" ref="C86">Quantity!O87</f>
        <v>0</v>
      </c>
      <c r="D86" s="24" cm="1">
        <f t="array" ref="D86">CA!O87</f>
        <v>0</v>
      </c>
      <c r="E86" s="23" cm="1">
        <f t="array" ref="E86">Quantity!C87</f>
        <v>0</v>
      </c>
      <c r="F86" s="25" cm="1">
        <f t="array" ref="F86">CA!C87</f>
        <v>0</v>
      </c>
      <c r="G86" s="26" cm="1">
        <f t="array" aca="1" ref="G86" ca="1">SUMIFS(Quantity!$C87:$AH87,Quantity!$C$7:$AH$7,H$6,Quantity!$C$8:$AH$8,TRUE)</f>
        <v>0</v>
      </c>
      <c r="H86" s="24" cm="1">
        <f t="array" aca="1" ref="H86" ca="1">SUMIFS(CA!$C87:$AQ87,CA!$C$7:$AQ$7,H$6,CA!$C$8:$AQ$8,TRUE)</f>
        <v>0</v>
      </c>
      <c r="I86" s="23" cm="1">
        <f t="array" aca="1" ref="I86" ca="1">SUMIFS(Quantity!$C87:$AH87,Quantity!$C$7:$AH$7,J$6,Quantity!$C$8:$AH$8,TRUE)</f>
        <v>0</v>
      </c>
      <c r="J86" s="25" cm="1">
        <f t="array" aca="1" ref="J86" ca="1">SUMIFS(CA!$C87:$AQ87,CA!$C$7:$AQ$7,J$6,CA!$C$8:$AQ$8,TRUE)</f>
        <v>0</v>
      </c>
      <c r="K86" s="26" cm="1">
        <f t="array" ref="K86">IF(SUM(Quantity!O87:Z87)=0,"",SUM(Quantity!O87:Z87))</f>
        <v>2</v>
      </c>
      <c r="L86" s="24" cm="1">
        <f t="array" ref="L86">IF(SUM(CA!O87:Z87)=0,"",SUM(CA!O87:Z87))</f>
        <v>540</v>
      </c>
      <c r="M86" s="23" t="str" cm="1">
        <f t="array" ref="M86">IF(SUM(Quantity!C87:N87)=0,"",SUM(Quantity!C87:N87))</f>
        <v/>
      </c>
      <c r="N86" s="25" t="str" cm="1">
        <f t="array" ref="N86">IF(SUM(CA!C87:N87)=0,"",SUM(CA!C87:N87))</f>
        <v/>
      </c>
    </row>
    <row r="87" spans="1:14" x14ac:dyDescent="0.25">
      <c r="A87" s="1"/>
      <c r="B87" s="22" t="str" cm="1">
        <f t="array" ref="B87">Quantity!B88</f>
        <v>[NADI003] ADIAMAG™</v>
      </c>
      <c r="C87" s="23" cm="1">
        <f t="array" ref="C87">Quantity!O88</f>
        <v>0</v>
      </c>
      <c r="D87" s="24" cm="1">
        <f t="array" ref="D87">CA!O88</f>
        <v>0</v>
      </c>
      <c r="E87" s="23" cm="1">
        <f t="array" ref="E87">Quantity!C88</f>
        <v>0</v>
      </c>
      <c r="F87" s="25" cm="1">
        <f t="array" ref="F87">CA!C88</f>
        <v>0</v>
      </c>
      <c r="G87" s="26" cm="1">
        <f t="array" aca="1" ref="G87" ca="1">SUMIFS(Quantity!$C88:$AH88,Quantity!$C$7:$AH$7,H$6,Quantity!$C$8:$AH$8,TRUE)</f>
        <v>0</v>
      </c>
      <c r="H87" s="24" cm="1">
        <f t="array" aca="1" ref="H87" ca="1">SUMIFS(CA!$C88:$AQ88,CA!$C$7:$AQ$7,H$6,CA!$C$8:$AQ$8,TRUE)</f>
        <v>0</v>
      </c>
      <c r="I87" s="23" cm="1">
        <f t="array" aca="1" ref="I87" ca="1">SUMIFS(Quantity!$C88:$AH88,Quantity!$C$7:$AH$7,J$6,Quantity!$C$8:$AH$8,TRUE)</f>
        <v>0</v>
      </c>
      <c r="J87" s="25" cm="1">
        <f t="array" aca="1" ref="J87" ca="1">SUMIFS(CA!$C88:$AQ88,CA!$C$7:$AQ$7,J$6,CA!$C$8:$AQ$8,TRUE)</f>
        <v>0</v>
      </c>
      <c r="K87" s="26" t="str" cm="1">
        <f t="array" ref="K87">IF(SUM(Quantity!O88:Z88)=0,"",SUM(Quantity!O88:Z88))</f>
        <v/>
      </c>
      <c r="L87" s="24" t="str" cm="1">
        <f t="array" ref="L87">IF(SUM(CA!O88:Z88)=0,"",SUM(CA!O88:Z88))</f>
        <v/>
      </c>
      <c r="M87" s="23" t="str" cm="1">
        <f t="array" ref="M87">IF(SUM(Quantity!C88:N88)=0,"",SUM(Quantity!C88:N88))</f>
        <v/>
      </c>
      <c r="N87" s="25" t="str" cm="1">
        <f t="array" ref="N87">IF(SUM(CA!C88:N88)=0,"",SUM(CA!C88:N88))</f>
        <v/>
      </c>
    </row>
    <row r="88" spans="1:14" x14ac:dyDescent="0.25">
      <c r="A88" s="1"/>
      <c r="B88" s="22" t="str" cm="1">
        <f t="array" ref="B88">Quantity!B89</f>
        <v>[NADI003-XL] ADIAMAG™ XL</v>
      </c>
      <c r="C88" s="23" cm="1">
        <f t="array" ref="C88">Quantity!O89</f>
        <v>2</v>
      </c>
      <c r="D88" s="24" cm="1">
        <f t="array" ref="D88">CA!O89</f>
        <v>1640</v>
      </c>
      <c r="E88" s="23" cm="1">
        <f t="array" ref="E88">Quantity!C89</f>
        <v>12</v>
      </c>
      <c r="F88" s="25" cm="1">
        <f t="array" ref="F88">CA!C89</f>
        <v>9840</v>
      </c>
      <c r="G88" s="26" cm="1">
        <f t="array" aca="1" ref="G88" ca="1">SUMIFS(Quantity!$C89:$AH89,Quantity!$C$7:$AH$7,H$6,Quantity!$C$8:$AH$8,TRUE)</f>
        <v>0</v>
      </c>
      <c r="H88" s="24" cm="1">
        <f t="array" aca="1" ref="H88" ca="1">SUMIFS(CA!$C89:$AQ89,CA!$C$7:$AQ$7,H$6,CA!$C$8:$AQ$8,TRUE)</f>
        <v>0</v>
      </c>
      <c r="I88" s="23" cm="1">
        <f t="array" aca="1" ref="I88" ca="1">SUMIFS(Quantity!$C89:$AH89,Quantity!$C$7:$AH$7,J$6,Quantity!$C$8:$AH$8,TRUE)</f>
        <v>0</v>
      </c>
      <c r="J88" s="25" cm="1">
        <f t="array" aca="1" ref="J88" ca="1">SUMIFS(CA!$C89:$AQ89,CA!$C$7:$AQ$7,J$6,CA!$C$8:$AQ$8,TRUE)</f>
        <v>0</v>
      </c>
      <c r="K88" s="26" cm="1">
        <f t="array" ref="K88">IF(SUM(Quantity!O89:Z89)=0,"",SUM(Quantity!O89:Z89))</f>
        <v>45</v>
      </c>
      <c r="L88" s="24" cm="1">
        <f t="array" ref="L88">IF(SUM(CA!O89:Z89)=0,"",SUM(CA!O89:Z89))</f>
        <v>36900</v>
      </c>
      <c r="M88" s="23" cm="1">
        <f t="array" ref="M88">IF(SUM(Quantity!C89:N89)=0,"",SUM(Quantity!C89:N89))</f>
        <v>82</v>
      </c>
      <c r="N88" s="25" cm="1">
        <f t="array" ref="N88">IF(SUM(CA!C89:N89)=0,"",SUM(CA!C89:N89))</f>
        <v>67240</v>
      </c>
    </row>
    <row r="89" spans="1:14" x14ac:dyDescent="0.25">
      <c r="A89" s="1"/>
      <c r="B89" s="22" t="str" cm="1">
        <f t="array" ref="B89">Quantity!B90</f>
        <v>[NADI004] ADIAMAG™ LB3 Buffer</v>
      </c>
      <c r="C89" s="23" cm="1">
        <f t="array" ref="C89">Quantity!O90</f>
        <v>0</v>
      </c>
      <c r="D89" s="24" cm="1">
        <f t="array" ref="D89">CA!O90</f>
        <v>0</v>
      </c>
      <c r="E89" s="23" cm="1">
        <f t="array" ref="E89">Quantity!C90</f>
        <v>0</v>
      </c>
      <c r="F89" s="25" cm="1">
        <f t="array" ref="F89">CA!C90</f>
        <v>0</v>
      </c>
      <c r="G89" s="26" cm="1">
        <f t="array" aca="1" ref="G89" ca="1">SUMIFS(Quantity!$C90:$AH90,Quantity!$C$7:$AH$7,H$6,Quantity!$C$8:$AH$8,TRUE)</f>
        <v>0</v>
      </c>
      <c r="H89" s="24" cm="1">
        <f t="array" aca="1" ref="H89" ca="1">SUMIFS(CA!$C90:$AQ90,CA!$C$7:$AQ$7,H$6,CA!$C$8:$AQ$8,TRUE)</f>
        <v>0</v>
      </c>
      <c r="I89" s="23" cm="1">
        <f t="array" aca="1" ref="I89" ca="1">SUMIFS(Quantity!$C90:$AH90,Quantity!$C$7:$AH$7,J$6,Quantity!$C$8:$AH$8,TRUE)</f>
        <v>0</v>
      </c>
      <c r="J89" s="25" cm="1">
        <f t="array" aca="1" ref="J89" ca="1">SUMIFS(CA!$C90:$AQ90,CA!$C$7:$AQ$7,J$6,CA!$C$8:$AQ$8,TRUE)</f>
        <v>0</v>
      </c>
      <c r="K89" s="26" cm="1">
        <f t="array" ref="K89">IF(SUM(Quantity!O90:Z90)=0,"",SUM(Quantity!O90:Z90))</f>
        <v>1</v>
      </c>
      <c r="L89" s="24" cm="1">
        <f t="array" ref="L89">IF(SUM(CA!O90:Z90)=0,"",SUM(CA!O90:Z90))</f>
        <v>60</v>
      </c>
      <c r="M89" s="23" t="str" cm="1">
        <f t="array" ref="M89">IF(SUM(Quantity!C90:N90)=0,"",SUM(Quantity!C90:N90))</f>
        <v/>
      </c>
      <c r="N89" s="25" t="str" cm="1">
        <f t="array" ref="N89">IF(SUM(CA!C90:N90)=0,"",SUM(CA!C90:N90))</f>
        <v/>
      </c>
    </row>
    <row r="90" spans="1:14" x14ac:dyDescent="0.25">
      <c r="A90" s="1"/>
      <c r="B90" s="22" t="str" cm="1">
        <f t="array" ref="B90">Quantity!B91</f>
        <v>[NIDC22PL-20] Easy prep BVD</v>
      </c>
      <c r="C90" s="23" cm="1">
        <f t="array" ref="C90">Quantity!O91</f>
        <v>0</v>
      </c>
      <c r="D90" s="24" cm="1">
        <f t="array" ref="D90">CA!O91</f>
        <v>0</v>
      </c>
      <c r="E90" s="23" cm="1">
        <f t="array" ref="E90">Quantity!C91</f>
        <v>0</v>
      </c>
      <c r="F90" s="25" cm="1">
        <f t="array" ref="F90">CA!C91</f>
        <v>0</v>
      </c>
      <c r="G90" s="26" cm="1">
        <f t="array" aca="1" ref="G90" ca="1">SUMIFS(Quantity!$C91:$AH91,Quantity!$C$7:$AH$7,H$6,Quantity!$C$8:$AH$8,TRUE)</f>
        <v>0</v>
      </c>
      <c r="H90" s="24" cm="1">
        <f t="array" aca="1" ref="H90" ca="1">SUMIFS(CA!$C91:$AQ91,CA!$C$7:$AQ$7,H$6,CA!$C$8:$AQ$8,TRUE)</f>
        <v>0</v>
      </c>
      <c r="I90" s="23" cm="1">
        <f t="array" aca="1" ref="I90" ca="1">SUMIFS(Quantity!$C91:$AH91,Quantity!$C$7:$AH$7,J$6,Quantity!$C$8:$AH$8,TRUE)</f>
        <v>0</v>
      </c>
      <c r="J90" s="25" cm="1">
        <f t="array" aca="1" ref="J90" ca="1">SUMIFS(CA!$C91:$AQ91,CA!$C$7:$AQ$7,J$6,CA!$C$8:$AQ$8,TRUE)</f>
        <v>0</v>
      </c>
      <c r="K90" s="26" t="str" cm="1">
        <f t="array" ref="K90">IF(SUM(Quantity!O91:Z91)=0,"",SUM(Quantity!O91:Z91))</f>
        <v/>
      </c>
      <c r="L90" s="24" t="str" cm="1">
        <f t="array" ref="L90">IF(SUM(CA!O91:Z91)=0,"",SUM(CA!O91:Z91))</f>
        <v/>
      </c>
      <c r="M90" s="23" t="str" cm="1">
        <f t="array" ref="M90">IF(SUM(Quantity!C91:N91)=0,"",SUM(Quantity!C91:N91))</f>
        <v/>
      </c>
      <c r="N90" s="25" t="str" cm="1">
        <f t="array" ref="N90">IF(SUM(CA!C91:N91)=0,"",SUM(CA!C91:N91))</f>
        <v/>
      </c>
    </row>
    <row r="91" spans="1:14" x14ac:dyDescent="0.25">
      <c r="A91" s="1"/>
      <c r="B91" s="22" cm="1">
        <f t="array" ref="B91">Quantity!B92</f>
        <v>0</v>
      </c>
      <c r="C91" s="23" cm="1">
        <f t="array" ref="C91">Quantity!O92</f>
        <v>0</v>
      </c>
      <c r="D91" s="24" cm="1">
        <f t="array" ref="D91">CA!O92</f>
        <v>0</v>
      </c>
      <c r="E91" s="23" cm="1">
        <f t="array" ref="E91">Quantity!C92</f>
        <v>0</v>
      </c>
      <c r="F91" s="25" cm="1">
        <f t="array" ref="F91">CA!C92</f>
        <v>0</v>
      </c>
      <c r="G91" s="26" cm="1">
        <f t="array" aca="1" ref="G91" ca="1">SUMIFS(Quantity!$C92:$AH92,Quantity!$C$7:$AH$7,H$6,Quantity!$C$8:$AH$8,TRUE)</f>
        <v>0</v>
      </c>
      <c r="H91" s="24" cm="1">
        <f t="array" aca="1" ref="H91" ca="1">SUMIFS(CA!$C92:$AQ92,CA!$C$7:$AQ$7,H$6,CA!$C$8:$AQ$8,TRUE)</f>
        <v>0</v>
      </c>
      <c r="I91" s="23" cm="1">
        <f t="array" aca="1" ref="I91" ca="1">SUMIFS(Quantity!$C92:$AH92,Quantity!$C$7:$AH$7,J$6,Quantity!$C$8:$AH$8,TRUE)</f>
        <v>0</v>
      </c>
      <c r="J91" s="25" cm="1">
        <f t="array" aca="1" ref="J91" ca="1">SUMIFS(CA!$C92:$AQ92,CA!$C$7:$AQ$7,J$6,CA!$C$8:$AQ$8,TRUE)</f>
        <v>0</v>
      </c>
      <c r="K91" s="26" t="str" cm="1">
        <f t="array" ref="K91">IF(SUM(Quantity!O92:Z92)=0,"",SUM(Quantity!O92:Z92))</f>
        <v/>
      </c>
      <c r="L91" s="24" t="str" cm="1">
        <f t="array" ref="L91">IF(SUM(CA!O92:Z92)=0,"",SUM(CA!O92:Z92))</f>
        <v/>
      </c>
      <c r="M91" s="23" t="str" cm="1">
        <f t="array" ref="M91">IF(SUM(Quantity!C92:N92)=0,"",SUM(Quantity!C92:N92))</f>
        <v/>
      </c>
      <c r="N91" s="25" t="str" cm="1">
        <f t="array" ref="N91">IF(SUM(CA!C92:N92)=0,"",SUM(CA!C92:N92))</f>
        <v/>
      </c>
    </row>
    <row r="92" spans="1:14" x14ac:dyDescent="0.25">
      <c r="A92" s="1"/>
      <c r="B92" s="22" cm="1">
        <f t="array" ref="B92">Quantity!B93</f>
        <v>0</v>
      </c>
      <c r="C92" s="23" cm="1">
        <f t="array" ref="C92">Quantity!O93</f>
        <v>0</v>
      </c>
      <c r="D92" s="24" cm="1">
        <f t="array" ref="D92">CA!O93</f>
        <v>0</v>
      </c>
      <c r="E92" s="23" cm="1">
        <f t="array" ref="E92">Quantity!C93</f>
        <v>0</v>
      </c>
      <c r="F92" s="25" cm="1">
        <f t="array" ref="F92">CA!C93</f>
        <v>0</v>
      </c>
      <c r="G92" s="26" cm="1">
        <f t="array" aca="1" ref="G92" ca="1">SUMIFS(Quantity!$C93:$AH93,Quantity!$C$7:$AH$7,H$6,Quantity!$C$8:$AH$8,TRUE)</f>
        <v>0</v>
      </c>
      <c r="H92" s="24" cm="1">
        <f t="array" aca="1" ref="H92" ca="1">SUMIFS(CA!$C93:$AQ93,CA!$C$7:$AQ$7,H$6,CA!$C$8:$AQ$8,TRUE)</f>
        <v>0</v>
      </c>
      <c r="I92" s="23" cm="1">
        <f t="array" aca="1" ref="I92" ca="1">SUMIFS(Quantity!$C93:$AH93,Quantity!$C$7:$AH$7,J$6,Quantity!$C$8:$AH$8,TRUE)</f>
        <v>0</v>
      </c>
      <c r="J92" s="25" cm="1">
        <f t="array" aca="1" ref="J92" ca="1">SUMIFS(CA!$C93:$AQ93,CA!$C$7:$AQ$7,J$6,CA!$C$8:$AQ$8,TRUE)</f>
        <v>0</v>
      </c>
      <c r="K92" s="26" t="str" cm="1">
        <f t="array" ref="K92">IF(SUM(Quantity!O93:Z93)=0,"",SUM(Quantity!O93:Z93))</f>
        <v/>
      </c>
      <c r="L92" s="24" t="str" cm="1">
        <f t="array" ref="L92">IF(SUM(CA!O93:Z93)=0,"",SUM(CA!O93:Z93))</f>
        <v/>
      </c>
      <c r="M92" s="23" t="str" cm="1">
        <f t="array" ref="M92">IF(SUM(Quantity!C93:N93)=0,"",SUM(Quantity!C93:N93))</f>
        <v/>
      </c>
      <c r="N92" s="25" t="str" cm="1">
        <f t="array" ref="N92">IF(SUM(CA!C93:N93)=0,"",SUM(CA!C93:N93))</f>
        <v/>
      </c>
    </row>
    <row r="93" spans="1:14" x14ac:dyDescent="0.25">
      <c r="A93" s="1"/>
      <c r="B93" s="22" cm="1">
        <f t="array" ref="B93">Quantity!B94</f>
        <v>0</v>
      </c>
      <c r="C93" s="23" cm="1">
        <f t="array" ref="C93">Quantity!O94</f>
        <v>0</v>
      </c>
      <c r="D93" s="24" cm="1">
        <f t="array" ref="D93">CA!O94</f>
        <v>0</v>
      </c>
      <c r="E93" s="23" cm="1">
        <f t="array" ref="E93">Quantity!C94</f>
        <v>0</v>
      </c>
      <c r="F93" s="25" cm="1">
        <f t="array" ref="F93">CA!C94</f>
        <v>0</v>
      </c>
      <c r="G93" s="26" cm="1">
        <f t="array" aca="1" ref="G93" ca="1">SUMIFS(Quantity!$C94:$AH94,Quantity!$C$7:$AH$7,H$6,Quantity!$C$8:$AH$8,TRUE)</f>
        <v>0</v>
      </c>
      <c r="H93" s="24" cm="1">
        <f t="array" aca="1" ref="H93" ca="1">SUMIFS(CA!$C94:$AQ94,CA!$C$7:$AQ$7,H$6,CA!$C$8:$AQ$8,TRUE)</f>
        <v>0</v>
      </c>
      <c r="I93" s="23" cm="1">
        <f t="array" aca="1" ref="I93" ca="1">SUMIFS(Quantity!$C94:$AH94,Quantity!$C$7:$AH$7,J$6,Quantity!$C$8:$AH$8,TRUE)</f>
        <v>0</v>
      </c>
      <c r="J93" s="25" cm="1">
        <f t="array" aca="1" ref="J93" ca="1">SUMIFS(CA!$C94:$AQ94,CA!$C$7:$AQ$7,J$6,CA!$C$8:$AQ$8,TRUE)</f>
        <v>0</v>
      </c>
      <c r="K93" s="26" t="str" cm="1">
        <f t="array" ref="K93">IF(SUM(Quantity!O94:Z94)=0,"",SUM(Quantity!O94:Z94))</f>
        <v/>
      </c>
      <c r="L93" s="24" t="str" cm="1">
        <f t="array" ref="L93">IF(SUM(CA!O94:Z94)=0,"",SUM(CA!O94:Z94))</f>
        <v/>
      </c>
      <c r="M93" s="23" t="str" cm="1">
        <f t="array" ref="M93">IF(SUM(Quantity!C94:N94)=0,"",SUM(Quantity!C94:N94))</f>
        <v/>
      </c>
      <c r="N93" s="25" t="str" cm="1">
        <f t="array" ref="N93">IF(SUM(CA!C94:N94)=0,"",SUM(CA!C94:N94))</f>
        <v/>
      </c>
    </row>
    <row r="94" spans="1:14" x14ac:dyDescent="0.25">
      <c r="A94" s="1"/>
      <c r="B94" s="22" cm="1">
        <f t="array" ref="B94">Quantity!B95</f>
        <v>0</v>
      </c>
      <c r="C94" s="23" cm="1">
        <f t="array" ref="C94">Quantity!O95</f>
        <v>0</v>
      </c>
      <c r="D94" s="24" cm="1">
        <f t="array" ref="D94">CA!O95</f>
        <v>0</v>
      </c>
      <c r="E94" s="23" cm="1">
        <f t="array" ref="E94">Quantity!C95</f>
        <v>0</v>
      </c>
      <c r="F94" s="25" cm="1">
        <f t="array" ref="F94">CA!C95</f>
        <v>0</v>
      </c>
      <c r="G94" s="26" cm="1">
        <f t="array" aca="1" ref="G94" ca="1">SUMIFS(Quantity!$C95:$AH95,Quantity!$C$7:$AH$7,H$6,Quantity!$C$8:$AH$8,TRUE)</f>
        <v>0</v>
      </c>
      <c r="H94" s="24" cm="1">
        <f t="array" aca="1" ref="H94" ca="1">SUMIFS(CA!$C95:$AQ95,CA!$C$7:$AQ$7,H$6,CA!$C$8:$AQ$8,TRUE)</f>
        <v>0</v>
      </c>
      <c r="I94" s="23" cm="1">
        <f t="array" aca="1" ref="I94" ca="1">SUMIFS(Quantity!$C95:$AH95,Quantity!$C$7:$AH$7,J$6,Quantity!$C$8:$AH$8,TRUE)</f>
        <v>0</v>
      </c>
      <c r="J94" s="25" cm="1">
        <f t="array" aca="1" ref="J94" ca="1">SUMIFS(CA!$C95:$AQ95,CA!$C$7:$AQ$7,J$6,CA!$C$8:$AQ$8,TRUE)</f>
        <v>0</v>
      </c>
      <c r="K94" s="26" t="str" cm="1">
        <f t="array" ref="K94">IF(SUM(Quantity!O95:Z95)=0,"",SUM(Quantity!O95:Z95))</f>
        <v/>
      </c>
      <c r="L94" s="24" t="str" cm="1">
        <f t="array" ref="L94">IF(SUM(CA!O95:Z95)=0,"",SUM(CA!O95:Z95))</f>
        <v/>
      </c>
      <c r="M94" s="23" t="str" cm="1">
        <f t="array" ref="M94">IF(SUM(Quantity!C95:N95)=0,"",SUM(Quantity!C95:N95))</f>
        <v/>
      </c>
      <c r="N94" s="25" t="str" cm="1">
        <f t="array" ref="N94">IF(SUM(CA!C95:N95)=0,"",SUM(CA!C95:N95))</f>
        <v/>
      </c>
    </row>
    <row r="95" spans="1:14" x14ac:dyDescent="0.25">
      <c r="A95" s="1"/>
      <c r="B95" s="22" cm="1">
        <f t="array" ref="B95">Quantity!B96</f>
        <v>0</v>
      </c>
      <c r="C95" s="23" cm="1">
        <f t="array" ref="C95">Quantity!O96</f>
        <v>0</v>
      </c>
      <c r="D95" s="24" cm="1">
        <f t="array" ref="D95">CA!O96</f>
        <v>0</v>
      </c>
      <c r="E95" s="23" cm="1">
        <f t="array" ref="E95">Quantity!C96</f>
        <v>0</v>
      </c>
      <c r="F95" s="25" cm="1">
        <f t="array" ref="F95">CA!C96</f>
        <v>0</v>
      </c>
      <c r="G95" s="26" cm="1">
        <f t="array" aca="1" ref="G95" ca="1">SUMIFS(Quantity!$C96:$AH96,Quantity!$C$7:$AH$7,H$6,Quantity!$C$8:$AH$8,TRUE)</f>
        <v>0</v>
      </c>
      <c r="H95" s="24" cm="1">
        <f t="array" aca="1" ref="H95" ca="1">SUMIFS(CA!$C96:$AQ96,CA!$C$7:$AQ$7,H$6,CA!$C$8:$AQ$8,TRUE)</f>
        <v>0</v>
      </c>
      <c r="I95" s="23" cm="1">
        <f t="array" aca="1" ref="I95" ca="1">SUMIFS(Quantity!$C96:$AH96,Quantity!$C$7:$AH$7,J$6,Quantity!$C$8:$AH$8,TRUE)</f>
        <v>0</v>
      </c>
      <c r="J95" s="25" cm="1">
        <f t="array" aca="1" ref="J95" ca="1">SUMIFS(CA!$C96:$AQ96,CA!$C$7:$AQ$7,J$6,CA!$C$8:$AQ$8,TRUE)</f>
        <v>0</v>
      </c>
      <c r="K95" s="26" t="str" cm="1">
        <f t="array" ref="K95">IF(SUM(Quantity!O96:Z96)=0,"",SUM(Quantity!O96:Z96))</f>
        <v/>
      </c>
      <c r="L95" s="24" t="str" cm="1">
        <f t="array" ref="L95">IF(SUM(CA!O96:Z96)=0,"",SUM(CA!O96:Z96))</f>
        <v/>
      </c>
      <c r="M95" s="23" t="str" cm="1">
        <f t="array" ref="M95">IF(SUM(Quantity!C96:N96)=0,"",SUM(Quantity!C96:N96))</f>
        <v/>
      </c>
      <c r="N95" s="25" t="str" cm="1">
        <f t="array" ref="N95">IF(SUM(CA!C96:N96)=0,"",SUM(CA!C96:N96))</f>
        <v/>
      </c>
    </row>
    <row r="96" spans="1:14" x14ac:dyDescent="0.25">
      <c r="A96" s="1"/>
      <c r="B96" s="22" cm="1">
        <f t="array" ref="B96">Quantity!B97</f>
        <v>0</v>
      </c>
      <c r="C96" s="23" cm="1">
        <f t="array" ref="C96">Quantity!O97</f>
        <v>0</v>
      </c>
      <c r="D96" s="24" cm="1">
        <f t="array" ref="D96">CA!O97</f>
        <v>0</v>
      </c>
      <c r="E96" s="23" cm="1">
        <f t="array" ref="E96">Quantity!C97</f>
        <v>0</v>
      </c>
      <c r="F96" s="25" cm="1">
        <f t="array" ref="F96">CA!C97</f>
        <v>0</v>
      </c>
      <c r="G96" s="26" cm="1">
        <f t="array" aca="1" ref="G96" ca="1">SUMIFS(Quantity!$C97:$AH97,Quantity!$C$7:$AH$7,H$6,Quantity!$C$8:$AH$8,TRUE)</f>
        <v>0</v>
      </c>
      <c r="H96" s="24" cm="1">
        <f t="array" aca="1" ref="H96" ca="1">SUMIFS(CA!$C97:$AQ97,CA!$C$7:$AQ$7,H$6,CA!$C$8:$AQ$8,TRUE)</f>
        <v>0</v>
      </c>
      <c r="I96" s="23" cm="1">
        <f t="array" aca="1" ref="I96" ca="1">SUMIFS(Quantity!$C97:$AH97,Quantity!$C$7:$AH$7,J$6,Quantity!$C$8:$AH$8,TRUE)</f>
        <v>0</v>
      </c>
      <c r="J96" s="25" cm="1">
        <f t="array" aca="1" ref="J96" ca="1">SUMIFS(CA!$C97:$AQ97,CA!$C$7:$AQ$7,J$6,CA!$C$8:$AQ$8,TRUE)</f>
        <v>0</v>
      </c>
      <c r="K96" s="26" t="str" cm="1">
        <f t="array" ref="K96">IF(SUM(Quantity!O97:Z97)=0,"",SUM(Quantity!O97:Z97))</f>
        <v/>
      </c>
      <c r="L96" s="24" t="str" cm="1">
        <f t="array" ref="L96">IF(SUM(CA!O97:Z97)=0,"",SUM(CA!O97:Z97))</f>
        <v/>
      </c>
      <c r="M96" s="23" t="str" cm="1">
        <f t="array" ref="M96">IF(SUM(Quantity!C97:N97)=0,"",SUM(Quantity!C97:N97))</f>
        <v/>
      </c>
      <c r="N96" s="25" t="str" cm="1">
        <f t="array" ref="N96">IF(SUM(CA!C97:N97)=0,"",SUM(CA!C97:N97))</f>
        <v/>
      </c>
    </row>
    <row r="97" spans="1:14" x14ac:dyDescent="0.25">
      <c r="A97" s="1"/>
      <c r="B97" s="22" cm="1">
        <f t="array" ref="B97">Quantity!B98</f>
        <v>0</v>
      </c>
      <c r="C97" s="23" cm="1">
        <f t="array" ref="C97">Quantity!O98</f>
        <v>0</v>
      </c>
      <c r="D97" s="24" cm="1">
        <f t="array" ref="D97">CA!O98</f>
        <v>0</v>
      </c>
      <c r="E97" s="23" cm="1">
        <f t="array" ref="E97">Quantity!C98</f>
        <v>0</v>
      </c>
      <c r="F97" s="25" cm="1">
        <f t="array" ref="F97">CA!C98</f>
        <v>0</v>
      </c>
      <c r="G97" s="26" cm="1">
        <f t="array" aca="1" ref="G97" ca="1">SUMIFS(Quantity!$C98:$AH98,Quantity!$C$7:$AH$7,H$6,Quantity!$C$8:$AH$8,TRUE)</f>
        <v>0</v>
      </c>
      <c r="H97" s="24" cm="1">
        <f t="array" aca="1" ref="H97" ca="1">SUMIFS(CA!$C98:$AQ98,CA!$C$7:$AQ$7,H$6,CA!$C$8:$AQ$8,TRUE)</f>
        <v>0</v>
      </c>
      <c r="I97" s="23" cm="1">
        <f t="array" aca="1" ref="I97" ca="1">SUMIFS(Quantity!$C98:$AH98,Quantity!$C$7:$AH$7,J$6,Quantity!$C$8:$AH$8,TRUE)</f>
        <v>0</v>
      </c>
      <c r="J97" s="25" cm="1">
        <f t="array" aca="1" ref="J97" ca="1">SUMIFS(CA!$C98:$AQ98,CA!$C$7:$AQ$7,J$6,CA!$C$8:$AQ$8,TRUE)</f>
        <v>0</v>
      </c>
      <c r="K97" s="26" t="str" cm="1">
        <f t="array" ref="K97">IF(SUM(Quantity!O98:Z98)=0,"",SUM(Quantity!O98:Z98))</f>
        <v/>
      </c>
      <c r="L97" s="24" t="str" cm="1">
        <f t="array" ref="L97">IF(SUM(CA!O98:Z98)=0,"",SUM(CA!O98:Z98))</f>
        <v/>
      </c>
      <c r="M97" s="23" t="str" cm="1">
        <f t="array" ref="M97">IF(SUM(Quantity!C98:N98)=0,"",SUM(Quantity!C98:N98))</f>
        <v/>
      </c>
      <c r="N97" s="25" t="str" cm="1">
        <f t="array" ref="N97">IF(SUM(CA!C98:N98)=0,"",SUM(CA!C98:N98))</f>
        <v/>
      </c>
    </row>
    <row r="98" spans="1:14" x14ac:dyDescent="0.25">
      <c r="A98" s="1"/>
      <c r="B98" s="22" cm="1">
        <f t="array" ref="B98">Quantity!B99</f>
        <v>0</v>
      </c>
      <c r="C98" s="23" cm="1">
        <f t="array" ref="C98">Quantity!O99</f>
        <v>0</v>
      </c>
      <c r="D98" s="24" cm="1">
        <f t="array" ref="D98">CA!O99</f>
        <v>0</v>
      </c>
      <c r="E98" s="23" cm="1">
        <f t="array" ref="E98">Quantity!C99</f>
        <v>0</v>
      </c>
      <c r="F98" s="25" cm="1">
        <f t="array" ref="F98">CA!C99</f>
        <v>0</v>
      </c>
      <c r="G98" s="26" cm="1">
        <f t="array" aca="1" ref="G98" ca="1">SUMIFS(Quantity!$C99:$AH99,Quantity!$C$7:$AH$7,H$6,Quantity!$C$8:$AH$8,TRUE)</f>
        <v>0</v>
      </c>
      <c r="H98" s="24" cm="1">
        <f t="array" aca="1" ref="H98" ca="1">SUMIFS(CA!$C99:$AQ99,CA!$C$7:$AQ$7,H$6,CA!$C$8:$AQ$8,TRUE)</f>
        <v>0</v>
      </c>
      <c r="I98" s="23" cm="1">
        <f t="array" aca="1" ref="I98" ca="1">SUMIFS(Quantity!$C99:$AH99,Quantity!$C$7:$AH$7,J$6,Quantity!$C$8:$AH$8,TRUE)</f>
        <v>0</v>
      </c>
      <c r="J98" s="25" cm="1">
        <f t="array" aca="1" ref="J98" ca="1">SUMIFS(CA!$C99:$AQ99,CA!$C$7:$AQ$7,J$6,CA!$C$8:$AQ$8,TRUE)</f>
        <v>0</v>
      </c>
      <c r="K98" s="26" t="str" cm="1">
        <f t="array" ref="K98">IF(SUM(Quantity!O99:Z99)=0,"",SUM(Quantity!O99:Z99))</f>
        <v/>
      </c>
      <c r="L98" s="24" t="str" cm="1">
        <f t="array" ref="L98">IF(SUM(CA!O99:Z99)=0,"",SUM(CA!O99:Z99))</f>
        <v/>
      </c>
      <c r="M98" s="23" t="str" cm="1">
        <f t="array" ref="M98">IF(SUM(Quantity!C99:N99)=0,"",SUM(Quantity!C99:N99))</f>
        <v/>
      </c>
      <c r="N98" s="25" t="str" cm="1">
        <f t="array" ref="N98">IF(SUM(CA!C99:N99)=0,"",SUM(CA!C99:N99))</f>
        <v/>
      </c>
    </row>
    <row r="99" spans="1:14" x14ac:dyDescent="0.25">
      <c r="A99" s="1"/>
      <c r="B99" s="22" cm="1">
        <f t="array" ref="B99">Quantity!B100</f>
        <v>0</v>
      </c>
      <c r="C99" s="23" cm="1">
        <f t="array" ref="C99">Quantity!O100</f>
        <v>0</v>
      </c>
      <c r="D99" s="24" cm="1">
        <f t="array" ref="D99">CA!O100</f>
        <v>0</v>
      </c>
      <c r="E99" s="23" cm="1">
        <f t="array" ref="E99">Quantity!C100</f>
        <v>0</v>
      </c>
      <c r="F99" s="25" cm="1">
        <f t="array" ref="F99">CA!C100</f>
        <v>0</v>
      </c>
      <c r="G99" s="26" cm="1">
        <f t="array" aca="1" ref="G99" ca="1">SUMIFS(Quantity!$C100:$AH100,Quantity!$C$7:$AH$7,H$6,Quantity!$C$8:$AH$8,TRUE)</f>
        <v>0</v>
      </c>
      <c r="H99" s="24" cm="1">
        <f t="array" aca="1" ref="H99" ca="1">SUMIFS(CA!$C100:$AQ100,CA!$C$7:$AQ$7,H$6,CA!$C$8:$AQ$8,TRUE)</f>
        <v>0</v>
      </c>
      <c r="I99" s="23" cm="1">
        <f t="array" aca="1" ref="I99" ca="1">SUMIFS(Quantity!$C100:$AH100,Quantity!$C$7:$AH$7,J$6,Quantity!$C$8:$AH$8,TRUE)</f>
        <v>0</v>
      </c>
      <c r="J99" s="25" cm="1">
        <f t="array" aca="1" ref="J99" ca="1">SUMIFS(CA!$C100:$AQ100,CA!$C$7:$AQ$7,J$6,CA!$C$8:$AQ$8,TRUE)</f>
        <v>0</v>
      </c>
      <c r="K99" s="26" t="str" cm="1">
        <f t="array" ref="K99">IF(SUM(Quantity!O100:Z100)=0,"",SUM(Quantity!O100:Z100))</f>
        <v/>
      </c>
      <c r="L99" s="24" t="str" cm="1">
        <f t="array" ref="L99">IF(SUM(CA!O100:Z100)=0,"",SUM(CA!O100:Z100))</f>
        <v/>
      </c>
      <c r="M99" s="23" t="str" cm="1">
        <f t="array" ref="M99">IF(SUM(Quantity!C100:N100)=0,"",SUM(Quantity!C100:N100))</f>
        <v/>
      </c>
      <c r="N99" s="25" t="str" cm="1">
        <f t="array" ref="N99">IF(SUM(CA!C100:N100)=0,"",SUM(CA!C100:N100))</f>
        <v/>
      </c>
    </row>
    <row r="100" spans="1:14" x14ac:dyDescent="0.25">
      <c r="A100" s="1"/>
      <c r="B100" s="22" cm="1">
        <f t="array" ref="B100">Quantity!B101</f>
        <v>0</v>
      </c>
      <c r="C100" s="23" cm="1">
        <f t="array" ref="C100">Quantity!O101</f>
        <v>0</v>
      </c>
      <c r="D100" s="24" cm="1">
        <f t="array" ref="D100">CA!O101</f>
        <v>0</v>
      </c>
      <c r="E100" s="23" cm="1">
        <f t="array" ref="E100">Quantity!C101</f>
        <v>0</v>
      </c>
      <c r="F100" s="25" cm="1">
        <f t="array" ref="F100">CA!C101</f>
        <v>0</v>
      </c>
      <c r="G100" s="26" cm="1">
        <f t="array" aca="1" ref="G100" ca="1">SUMIFS(Quantity!$C101:$AH101,Quantity!$C$7:$AH$7,H$6,Quantity!$C$8:$AH$8,TRUE)</f>
        <v>0</v>
      </c>
      <c r="H100" s="24" cm="1">
        <f t="array" aca="1" ref="H100" ca="1">SUMIFS(CA!$C101:$AQ101,CA!$C$7:$AQ$7,H$6,CA!$C$8:$AQ$8,TRUE)</f>
        <v>0</v>
      </c>
      <c r="I100" s="23" cm="1">
        <f t="array" aca="1" ref="I100" ca="1">SUMIFS(Quantity!$C101:$AH101,Quantity!$C$7:$AH$7,J$6,Quantity!$C$8:$AH$8,TRUE)</f>
        <v>0</v>
      </c>
      <c r="J100" s="25" cm="1">
        <f t="array" aca="1" ref="J100" ca="1">SUMIFS(CA!$C101:$AQ101,CA!$C$7:$AQ$7,J$6,CA!$C$8:$AQ$8,TRUE)</f>
        <v>0</v>
      </c>
      <c r="K100" s="26" t="str" cm="1">
        <f t="array" ref="K100">IF(SUM(Quantity!O101:Z101)=0,"",SUM(Quantity!O101:Z101))</f>
        <v/>
      </c>
      <c r="L100" s="24" t="str" cm="1">
        <f t="array" ref="L100">IF(SUM(CA!O101:Z101)=0,"",SUM(CA!O101:Z101))</f>
        <v/>
      </c>
      <c r="M100" s="23" t="str" cm="1">
        <f t="array" ref="M100">IF(SUM(Quantity!C101:N101)=0,"",SUM(Quantity!C101:N101))</f>
        <v/>
      </c>
      <c r="N100" s="25" t="str" cm="1">
        <f t="array" ref="N100">IF(SUM(CA!C101:N101)=0,"",SUM(CA!C101:N101))</f>
        <v/>
      </c>
    </row>
    <row r="101" spans="1:14" x14ac:dyDescent="0.25">
      <c r="A101" s="1"/>
      <c r="B101" s="22" cm="1">
        <f t="array" ref="B101">Quantity!B102</f>
        <v>0</v>
      </c>
      <c r="C101" s="23" cm="1">
        <f t="array" ref="C101">Quantity!O102</f>
        <v>0</v>
      </c>
      <c r="D101" s="24" cm="1">
        <f t="array" ref="D101">CA!O102</f>
        <v>0</v>
      </c>
      <c r="E101" s="23" cm="1">
        <f t="array" ref="E101">Quantity!C102</f>
        <v>0</v>
      </c>
      <c r="F101" s="25" cm="1">
        <f t="array" ref="F101">CA!C102</f>
        <v>0</v>
      </c>
      <c r="G101" s="26" cm="1">
        <f t="array" aca="1" ref="G101" ca="1">SUMIFS(Quantity!$C102:$AH102,Quantity!$C$7:$AH$7,H$6,Quantity!$C$8:$AH$8,TRUE)</f>
        <v>0</v>
      </c>
      <c r="H101" s="24" cm="1">
        <f t="array" aca="1" ref="H101" ca="1">SUMIFS(CA!$C102:$AQ102,CA!$C$7:$AQ$7,H$6,CA!$C$8:$AQ$8,TRUE)</f>
        <v>0</v>
      </c>
      <c r="I101" s="23" cm="1">
        <f t="array" aca="1" ref="I101" ca="1">SUMIFS(Quantity!$C102:$AH102,Quantity!$C$7:$AH$7,J$6,Quantity!$C$8:$AH$8,TRUE)</f>
        <v>0</v>
      </c>
      <c r="J101" s="25" cm="1">
        <f t="array" aca="1" ref="J101" ca="1">SUMIFS(CA!$C102:$AQ102,CA!$C$7:$AQ$7,J$6,CA!$C$8:$AQ$8,TRUE)</f>
        <v>0</v>
      </c>
      <c r="K101" s="26" t="str" cm="1">
        <f t="array" ref="K101">IF(SUM(Quantity!O102:Z102)=0,"",SUM(Quantity!O102:Z102))</f>
        <v/>
      </c>
      <c r="L101" s="24" t="str" cm="1">
        <f t="array" ref="L101">IF(SUM(CA!O102:Z102)=0,"",SUM(CA!O102:Z102))</f>
        <v/>
      </c>
      <c r="M101" s="23" t="str" cm="1">
        <f t="array" ref="M101">IF(SUM(Quantity!C102:N102)=0,"",SUM(Quantity!C102:N102))</f>
        <v/>
      </c>
      <c r="N101" s="25" t="str" cm="1">
        <f t="array" ref="N101">IF(SUM(CA!C102:N102)=0,"",SUM(CA!C102:N102))</f>
        <v/>
      </c>
    </row>
    <row r="102" spans="1:14" x14ac:dyDescent="0.25">
      <c r="A102" s="1"/>
      <c r="B102" s="22" cm="1">
        <f t="array" ref="B102">Quantity!B103</f>
        <v>0</v>
      </c>
      <c r="C102" s="23" cm="1">
        <f t="array" ref="C102">Quantity!O103</f>
        <v>0</v>
      </c>
      <c r="D102" s="24" cm="1">
        <f t="array" ref="D102">CA!O103</f>
        <v>0</v>
      </c>
      <c r="E102" s="23" cm="1">
        <f t="array" ref="E102">Quantity!C103</f>
        <v>0</v>
      </c>
      <c r="F102" s="25" cm="1">
        <f t="array" ref="F102">CA!C103</f>
        <v>0</v>
      </c>
      <c r="G102" s="26" cm="1">
        <f t="array" aca="1" ref="G102" ca="1">SUMIFS(Quantity!$C103:$AH103,Quantity!$C$7:$AH$7,H$6,Quantity!$C$8:$AH$8,TRUE)</f>
        <v>0</v>
      </c>
      <c r="H102" s="24" cm="1">
        <f t="array" aca="1" ref="H102" ca="1">SUMIFS(CA!$C103:$AQ103,CA!$C$7:$AQ$7,H$6,CA!$C$8:$AQ$8,TRUE)</f>
        <v>0</v>
      </c>
      <c r="I102" s="23" cm="1">
        <f t="array" aca="1" ref="I102" ca="1">SUMIFS(Quantity!$C103:$AH103,Quantity!$C$7:$AH$7,J$6,Quantity!$C$8:$AH$8,TRUE)</f>
        <v>0</v>
      </c>
      <c r="J102" s="25" cm="1">
        <f t="array" aca="1" ref="J102" ca="1">SUMIFS(CA!$C103:$AQ103,CA!$C$7:$AQ$7,J$6,CA!$C$8:$AQ$8,TRUE)</f>
        <v>0</v>
      </c>
      <c r="K102" s="26" t="str" cm="1">
        <f t="array" ref="K102">IF(SUM(Quantity!O103:Z103)=0,"",SUM(Quantity!O103:Z103))</f>
        <v/>
      </c>
      <c r="L102" s="24" t="str" cm="1">
        <f t="array" ref="L102">IF(SUM(CA!O103:Z103)=0,"",SUM(CA!O103:Z103))</f>
        <v/>
      </c>
      <c r="M102" s="23" t="str" cm="1">
        <f t="array" ref="M102">IF(SUM(Quantity!C103:N103)=0,"",SUM(Quantity!C103:N103))</f>
        <v/>
      </c>
      <c r="N102" s="25" t="str" cm="1">
        <f t="array" ref="N102">IF(SUM(CA!C103:N103)=0,"",SUM(CA!C103:N103))</f>
        <v/>
      </c>
    </row>
    <row r="103" spans="1:14" x14ac:dyDescent="0.25">
      <c r="A103" s="1"/>
      <c r="B103" s="22" cm="1">
        <f t="array" ref="B103">Quantity!B104</f>
        <v>0</v>
      </c>
      <c r="C103" s="23" cm="1">
        <f t="array" ref="C103">Quantity!O104</f>
        <v>0</v>
      </c>
      <c r="D103" s="24" cm="1">
        <f t="array" ref="D103">CA!O104</f>
        <v>0</v>
      </c>
      <c r="E103" s="23" cm="1">
        <f t="array" ref="E103">Quantity!C104</f>
        <v>0</v>
      </c>
      <c r="F103" s="25" cm="1">
        <f t="array" ref="F103">CA!C104</f>
        <v>0</v>
      </c>
      <c r="G103" s="26" cm="1">
        <f t="array" aca="1" ref="G103" ca="1">SUMIFS(Quantity!$C104:$AH104,Quantity!$C$7:$AH$7,H$6,Quantity!$C$8:$AH$8,TRUE)</f>
        <v>0</v>
      </c>
      <c r="H103" s="24" cm="1">
        <f t="array" aca="1" ref="H103" ca="1">SUMIFS(CA!$C104:$AQ104,CA!$C$7:$AQ$7,H$6,CA!$C$8:$AQ$8,TRUE)</f>
        <v>0</v>
      </c>
      <c r="I103" s="23" cm="1">
        <f t="array" aca="1" ref="I103" ca="1">SUMIFS(Quantity!$C104:$AH104,Quantity!$C$7:$AH$7,J$6,Quantity!$C$8:$AH$8,TRUE)</f>
        <v>0</v>
      </c>
      <c r="J103" s="25" cm="1">
        <f t="array" aca="1" ref="J103" ca="1">SUMIFS(CA!$C104:$AQ104,CA!$C$7:$AQ$7,J$6,CA!$C$8:$AQ$8,TRUE)</f>
        <v>0</v>
      </c>
      <c r="K103" s="26" t="str" cm="1">
        <f t="array" ref="K103">IF(SUM(Quantity!O104:Z104)=0,"",SUM(Quantity!O104:Z104))</f>
        <v/>
      </c>
      <c r="L103" s="24" t="str" cm="1">
        <f t="array" ref="L103">IF(SUM(CA!O104:Z104)=0,"",SUM(CA!O104:Z104))</f>
        <v/>
      </c>
      <c r="M103" s="23" t="str" cm="1">
        <f t="array" ref="M103">IF(SUM(Quantity!C104:N104)=0,"",SUM(Quantity!C104:N104))</f>
        <v/>
      </c>
      <c r="N103" s="25" t="str" cm="1">
        <f t="array" ref="N103">IF(SUM(CA!C104:N104)=0,"",SUM(CA!C104:N104))</f>
        <v/>
      </c>
    </row>
    <row r="104" spans="1:14" x14ac:dyDescent="0.25">
      <c r="A104" s="1"/>
      <c r="B104" s="22" cm="1">
        <f t="array" ref="B104">Quantity!B105</f>
        <v>0</v>
      </c>
      <c r="C104" s="23" cm="1">
        <f t="array" ref="C104">Quantity!O105</f>
        <v>0</v>
      </c>
      <c r="D104" s="24" cm="1">
        <f t="array" ref="D104">CA!O105</f>
        <v>0</v>
      </c>
      <c r="E104" s="23" cm="1">
        <f t="array" ref="E104">Quantity!C105</f>
        <v>0</v>
      </c>
      <c r="F104" s="25" cm="1">
        <f t="array" ref="F104">CA!C105</f>
        <v>0</v>
      </c>
      <c r="G104" s="26" cm="1">
        <f t="array" aca="1" ref="G104" ca="1">SUMIFS(Quantity!$C105:$AH105,Quantity!$C$7:$AH$7,H$6,Quantity!$C$8:$AH$8,TRUE)</f>
        <v>0</v>
      </c>
      <c r="H104" s="24" cm="1">
        <f t="array" aca="1" ref="H104" ca="1">SUMIFS(CA!$C105:$AQ105,CA!$C$7:$AQ$7,H$6,CA!$C$8:$AQ$8,TRUE)</f>
        <v>0</v>
      </c>
      <c r="I104" s="23" cm="1">
        <f t="array" aca="1" ref="I104" ca="1">SUMIFS(Quantity!$C105:$AH105,Quantity!$C$7:$AH$7,J$6,Quantity!$C$8:$AH$8,TRUE)</f>
        <v>0</v>
      </c>
      <c r="J104" s="25" cm="1">
        <f t="array" aca="1" ref="J104" ca="1">SUMIFS(CA!$C105:$AQ105,CA!$C$7:$AQ$7,J$6,CA!$C$8:$AQ$8,TRUE)</f>
        <v>0</v>
      </c>
      <c r="K104" s="26" t="str" cm="1">
        <f t="array" ref="K104">IF(SUM(Quantity!O105:Z105)=0,"",SUM(Quantity!O105:Z105))</f>
        <v/>
      </c>
      <c r="L104" s="24" t="str" cm="1">
        <f t="array" ref="L104">IF(SUM(CA!O105:Z105)=0,"",SUM(CA!O105:Z105))</f>
        <v/>
      </c>
      <c r="M104" s="23" t="str" cm="1">
        <f t="array" ref="M104">IF(SUM(Quantity!C105:N105)=0,"",SUM(Quantity!C105:N105))</f>
        <v/>
      </c>
      <c r="N104" s="25" t="str" cm="1">
        <f t="array" ref="N104">IF(SUM(CA!C105:N105)=0,"",SUM(CA!C105:N105))</f>
        <v/>
      </c>
    </row>
    <row r="105" spans="1:14" x14ac:dyDescent="0.25">
      <c r="A105" s="1"/>
      <c r="B105" s="22" cm="1">
        <f t="array" ref="B105">Quantity!B106</f>
        <v>0</v>
      </c>
      <c r="C105" s="23" cm="1">
        <f t="array" ref="C105">Quantity!O106</f>
        <v>0</v>
      </c>
      <c r="D105" s="24" cm="1">
        <f t="array" ref="D105">CA!O106</f>
        <v>0</v>
      </c>
      <c r="E105" s="23" cm="1">
        <f t="array" ref="E105">Quantity!C106</f>
        <v>0</v>
      </c>
      <c r="F105" s="25" cm="1">
        <f t="array" ref="F105">CA!C106</f>
        <v>0</v>
      </c>
      <c r="G105" s="26" cm="1">
        <f t="array" aca="1" ref="G105" ca="1">SUMIFS(Quantity!$C106:$AH106,Quantity!$C$7:$AH$7,H$6,Quantity!$C$8:$AH$8,TRUE)</f>
        <v>0</v>
      </c>
      <c r="H105" s="24" cm="1">
        <f t="array" aca="1" ref="H105" ca="1">SUMIFS(CA!$C106:$AQ106,CA!$C$7:$AQ$7,H$6,CA!$C$8:$AQ$8,TRUE)</f>
        <v>0</v>
      </c>
      <c r="I105" s="23" cm="1">
        <f t="array" aca="1" ref="I105" ca="1">SUMIFS(Quantity!$C106:$AH106,Quantity!$C$7:$AH$7,J$6,Quantity!$C$8:$AH$8,TRUE)</f>
        <v>0</v>
      </c>
      <c r="J105" s="25" cm="1">
        <f t="array" aca="1" ref="J105" ca="1">SUMIFS(CA!$C106:$AQ106,CA!$C$7:$AQ$7,J$6,CA!$C$8:$AQ$8,TRUE)</f>
        <v>0</v>
      </c>
      <c r="K105" s="26" t="str" cm="1">
        <f t="array" ref="K105">IF(SUM(Quantity!O106:Z106)=0,"",SUM(Quantity!O106:Z106))</f>
        <v/>
      </c>
      <c r="L105" s="24" t="str" cm="1">
        <f t="array" ref="L105">IF(SUM(CA!O106:Z106)=0,"",SUM(CA!O106:Z106))</f>
        <v/>
      </c>
      <c r="M105" s="23" t="str" cm="1">
        <f t="array" ref="M105">IF(SUM(Quantity!C106:N106)=0,"",SUM(Quantity!C106:N106))</f>
        <v/>
      </c>
      <c r="N105" s="25" t="str" cm="1">
        <f t="array" ref="N105">IF(SUM(CA!C106:N106)=0,"",SUM(CA!C106:N106))</f>
        <v/>
      </c>
    </row>
    <row r="106" spans="1:14" x14ac:dyDescent="0.25">
      <c r="A106" s="1"/>
      <c r="B106" s="22" cm="1">
        <f t="array" ref="B106">Quantity!B107</f>
        <v>0</v>
      </c>
      <c r="C106" s="23" cm="1">
        <f t="array" ref="C106">Quantity!O107</f>
        <v>0</v>
      </c>
      <c r="D106" s="24" cm="1">
        <f t="array" ref="D106">CA!O107</f>
        <v>0</v>
      </c>
      <c r="E106" s="23" cm="1">
        <f t="array" ref="E106">Quantity!C107</f>
        <v>0</v>
      </c>
      <c r="F106" s="25" cm="1">
        <f t="array" ref="F106">CA!C107</f>
        <v>0</v>
      </c>
      <c r="G106" s="26" cm="1">
        <f t="array" aca="1" ref="G106" ca="1">SUMIFS(Quantity!$C107:$AH107,Quantity!$C$7:$AH$7,H$6,Quantity!$C$8:$AH$8,TRUE)</f>
        <v>0</v>
      </c>
      <c r="H106" s="24" cm="1">
        <f t="array" aca="1" ref="H106" ca="1">SUMIFS(CA!$C107:$AQ107,CA!$C$7:$AQ$7,H$6,CA!$C$8:$AQ$8,TRUE)</f>
        <v>0</v>
      </c>
      <c r="I106" s="23" cm="1">
        <f t="array" aca="1" ref="I106" ca="1">SUMIFS(Quantity!$C107:$AH107,Quantity!$C$7:$AH$7,J$6,Quantity!$C$8:$AH$8,TRUE)</f>
        <v>0</v>
      </c>
      <c r="J106" s="25" cm="1">
        <f t="array" aca="1" ref="J106" ca="1">SUMIFS(CA!$C107:$AQ107,CA!$C$7:$AQ$7,J$6,CA!$C$8:$AQ$8,TRUE)</f>
        <v>0</v>
      </c>
      <c r="K106" s="26" t="str" cm="1">
        <f t="array" ref="K106">IF(SUM(Quantity!O107:Z107)=0,"",SUM(Quantity!O107:Z107))</f>
        <v/>
      </c>
      <c r="L106" s="24" t="str" cm="1">
        <f t="array" ref="L106">IF(SUM(CA!O107:Z107)=0,"",SUM(CA!O107:Z107))</f>
        <v/>
      </c>
      <c r="M106" s="23" t="str" cm="1">
        <f t="array" ref="M106">IF(SUM(Quantity!C107:N107)=0,"",SUM(Quantity!C107:N107))</f>
        <v/>
      </c>
      <c r="N106" s="25" t="str" cm="1">
        <f t="array" ref="N106">IF(SUM(CA!C107:N107)=0,"",SUM(CA!C107:N107))</f>
        <v/>
      </c>
    </row>
    <row r="107" spans="1:14" x14ac:dyDescent="0.25">
      <c r="A107" s="1"/>
      <c r="B107" s="22" cm="1">
        <f t="array" ref="B107">Quantity!B108</f>
        <v>0</v>
      </c>
      <c r="C107" s="23" cm="1">
        <f t="array" ref="C107">Quantity!O108</f>
        <v>0</v>
      </c>
      <c r="D107" s="24" cm="1">
        <f t="array" ref="D107">CA!O108</f>
        <v>0</v>
      </c>
      <c r="E107" s="23" cm="1">
        <f t="array" ref="E107">Quantity!C108</f>
        <v>0</v>
      </c>
      <c r="F107" s="25" cm="1">
        <f t="array" ref="F107">CA!C108</f>
        <v>0</v>
      </c>
      <c r="G107" s="26" cm="1">
        <f t="array" aca="1" ref="G107" ca="1">SUMIFS(Quantity!$C108:$AH108,Quantity!$C$7:$AH$7,H$6,Quantity!$C$8:$AH$8,TRUE)</f>
        <v>0</v>
      </c>
      <c r="H107" s="24" cm="1">
        <f t="array" aca="1" ref="H107" ca="1">SUMIFS(CA!$C108:$AQ108,CA!$C$7:$AQ$7,H$6,CA!$C$8:$AQ$8,TRUE)</f>
        <v>0</v>
      </c>
      <c r="I107" s="23" cm="1">
        <f t="array" aca="1" ref="I107" ca="1">SUMIFS(Quantity!$C108:$AH108,Quantity!$C$7:$AH$7,J$6,Quantity!$C$8:$AH$8,TRUE)</f>
        <v>0</v>
      </c>
      <c r="J107" s="25" cm="1">
        <f t="array" aca="1" ref="J107" ca="1">SUMIFS(CA!$C108:$AQ108,CA!$C$7:$AQ$7,J$6,CA!$C$8:$AQ$8,TRUE)</f>
        <v>0</v>
      </c>
      <c r="K107" s="26" t="str" cm="1">
        <f t="array" ref="K107">IF(SUM(Quantity!O108:Z108)=0,"",SUM(Quantity!O108:Z108))</f>
        <v/>
      </c>
      <c r="L107" s="24" t="str" cm="1">
        <f t="array" ref="L107">IF(SUM(CA!O108:Z108)=0,"",SUM(CA!O108:Z108))</f>
        <v/>
      </c>
      <c r="M107" s="23" t="str" cm="1">
        <f t="array" ref="M107">IF(SUM(Quantity!C108:N108)=0,"",SUM(Quantity!C108:N108))</f>
        <v/>
      </c>
      <c r="N107" s="25" t="str" cm="1">
        <f t="array" ref="N107">IF(SUM(CA!C108:N108)=0,"",SUM(CA!C108:N108))</f>
        <v/>
      </c>
    </row>
    <row r="108" spans="1:14" x14ac:dyDescent="0.25">
      <c r="A108" s="1"/>
      <c r="B108" s="22" cm="1">
        <f t="array" ref="B108">Quantity!B109</f>
        <v>0</v>
      </c>
      <c r="C108" s="23" cm="1">
        <f t="array" ref="C108">Quantity!O109</f>
        <v>0</v>
      </c>
      <c r="D108" s="24" cm="1">
        <f t="array" ref="D108">CA!O109</f>
        <v>0</v>
      </c>
      <c r="E108" s="23" cm="1">
        <f t="array" ref="E108">Quantity!C109</f>
        <v>0</v>
      </c>
      <c r="F108" s="25" cm="1">
        <f t="array" ref="F108">CA!C109</f>
        <v>0</v>
      </c>
      <c r="G108" s="26" cm="1">
        <f t="array" aca="1" ref="G108" ca="1">SUMIFS(Quantity!$C109:$AH109,Quantity!$C$7:$AH$7,H$6,Quantity!$C$8:$AH$8,TRUE)</f>
        <v>0</v>
      </c>
      <c r="H108" s="24" cm="1">
        <f t="array" aca="1" ref="H108" ca="1">SUMIFS(CA!$C109:$AQ109,CA!$C$7:$AQ$7,H$6,CA!$C$8:$AQ$8,TRUE)</f>
        <v>0</v>
      </c>
      <c r="I108" s="23" cm="1">
        <f t="array" aca="1" ref="I108" ca="1">SUMIFS(Quantity!$C109:$AH109,Quantity!$C$7:$AH$7,J$6,Quantity!$C$8:$AH$8,TRUE)</f>
        <v>0</v>
      </c>
      <c r="J108" s="25" cm="1">
        <f t="array" aca="1" ref="J108" ca="1">SUMIFS(CA!$C109:$AQ109,CA!$C$7:$AQ$7,J$6,CA!$C$8:$AQ$8,TRUE)</f>
        <v>0</v>
      </c>
      <c r="K108" s="26" t="str" cm="1">
        <f t="array" ref="K108">IF(SUM(Quantity!O109:Z109)=0,"",SUM(Quantity!O109:Z109))</f>
        <v/>
      </c>
      <c r="L108" s="24" t="str" cm="1">
        <f t="array" ref="L108">IF(SUM(CA!O109:Z109)=0,"",SUM(CA!O109:Z109))</f>
        <v/>
      </c>
      <c r="M108" s="23" t="str" cm="1">
        <f t="array" ref="M108">IF(SUM(Quantity!C109:N109)=0,"",SUM(Quantity!C109:N109))</f>
        <v/>
      </c>
      <c r="N108" s="25" t="str" cm="1">
        <f t="array" ref="N108">IF(SUM(CA!C109:N109)=0,"",SUM(CA!C109:N109))</f>
        <v/>
      </c>
    </row>
    <row r="109" spans="1:14" x14ac:dyDescent="0.25">
      <c r="A109" s="1"/>
      <c r="B109" s="22" cm="1">
        <f t="array" ref="B109">Quantity!B110</f>
        <v>0</v>
      </c>
      <c r="C109" s="23" cm="1">
        <f t="array" ref="C109">Quantity!O110</f>
        <v>0</v>
      </c>
      <c r="D109" s="24" cm="1">
        <f t="array" ref="D109">CA!O110</f>
        <v>0</v>
      </c>
      <c r="E109" s="23" cm="1">
        <f t="array" ref="E109">Quantity!C110</f>
        <v>0</v>
      </c>
      <c r="F109" s="25" cm="1">
        <f t="array" ref="F109">CA!C110</f>
        <v>0</v>
      </c>
      <c r="G109" s="26" cm="1">
        <f t="array" aca="1" ref="G109" ca="1">SUMIFS(Quantity!$C110:$AH110,Quantity!$C$7:$AH$7,H$6,Quantity!$C$8:$AH$8,TRUE)</f>
        <v>0</v>
      </c>
      <c r="H109" s="24" cm="1">
        <f t="array" aca="1" ref="H109" ca="1">SUMIFS(CA!$C110:$AQ110,CA!$C$7:$AQ$7,H$6,CA!$C$8:$AQ$8,TRUE)</f>
        <v>0</v>
      </c>
      <c r="I109" s="23" cm="1">
        <f t="array" aca="1" ref="I109" ca="1">SUMIFS(Quantity!$C110:$AH110,Quantity!$C$7:$AH$7,J$6,Quantity!$C$8:$AH$8,TRUE)</f>
        <v>0</v>
      </c>
      <c r="J109" s="25" cm="1">
        <f t="array" aca="1" ref="J109" ca="1">SUMIFS(CA!$C110:$AQ110,CA!$C$7:$AQ$7,J$6,CA!$C$8:$AQ$8,TRUE)</f>
        <v>0</v>
      </c>
      <c r="K109" s="26" t="str" cm="1">
        <f t="array" ref="K109">IF(SUM(Quantity!O110:Z110)=0,"",SUM(Quantity!O110:Z110))</f>
        <v/>
      </c>
      <c r="L109" s="24" t="str" cm="1">
        <f t="array" ref="L109">IF(SUM(CA!O110:Z110)=0,"",SUM(CA!O110:Z110))</f>
        <v/>
      </c>
      <c r="M109" s="23" t="str" cm="1">
        <f t="array" ref="M109">IF(SUM(Quantity!C110:N110)=0,"",SUM(Quantity!C110:N110))</f>
        <v/>
      </c>
      <c r="N109" s="25" t="str" cm="1">
        <f t="array" ref="N109">IF(SUM(CA!C110:N110)=0,"",SUM(CA!C110:N110))</f>
        <v/>
      </c>
    </row>
    <row r="110" spans="1:14" x14ac:dyDescent="0.25">
      <c r="A110" s="1"/>
      <c r="B110" s="22" cm="1">
        <f t="array" ref="B110">Quantity!B111</f>
        <v>0</v>
      </c>
      <c r="C110" s="23" cm="1">
        <f t="array" ref="C110">Quantity!O111</f>
        <v>0</v>
      </c>
      <c r="D110" s="24" cm="1">
        <f t="array" ref="D110">CA!O111</f>
        <v>0</v>
      </c>
      <c r="E110" s="23" cm="1">
        <f t="array" ref="E110">Quantity!C111</f>
        <v>0</v>
      </c>
      <c r="F110" s="25" cm="1">
        <f t="array" ref="F110">CA!C111</f>
        <v>0</v>
      </c>
      <c r="G110" s="26" cm="1">
        <f t="array" aca="1" ref="G110" ca="1">SUMIFS(Quantity!$C111:$AH111,Quantity!$C$7:$AH$7,H$6,Quantity!$C$8:$AH$8,TRUE)</f>
        <v>0</v>
      </c>
      <c r="H110" s="24" cm="1">
        <f t="array" aca="1" ref="H110" ca="1">SUMIFS(CA!$C111:$AQ111,CA!$C$7:$AQ$7,H$6,CA!$C$8:$AQ$8,TRUE)</f>
        <v>0</v>
      </c>
      <c r="I110" s="23" cm="1">
        <f t="array" aca="1" ref="I110" ca="1">SUMIFS(Quantity!$C111:$AH111,Quantity!$C$7:$AH$7,J$6,Quantity!$C$8:$AH$8,TRUE)</f>
        <v>0</v>
      </c>
      <c r="J110" s="25" cm="1">
        <f t="array" aca="1" ref="J110" ca="1">SUMIFS(CA!$C111:$AQ111,CA!$C$7:$AQ$7,J$6,CA!$C$8:$AQ$8,TRUE)</f>
        <v>0</v>
      </c>
      <c r="K110" s="26" t="str" cm="1">
        <f t="array" ref="K110">IF(SUM(Quantity!O111:Z111)=0,"",SUM(Quantity!O111:Z111))</f>
        <v/>
      </c>
      <c r="L110" s="24" t="str" cm="1">
        <f t="array" ref="L110">IF(SUM(CA!O111:Z111)=0,"",SUM(CA!O111:Z111))</f>
        <v/>
      </c>
      <c r="M110" s="23" t="str" cm="1">
        <f t="array" ref="M110">IF(SUM(Quantity!C111:N111)=0,"",SUM(Quantity!C111:N111))</f>
        <v/>
      </c>
      <c r="N110" s="25" t="str" cm="1">
        <f t="array" ref="N110">IF(SUM(CA!C111:N111)=0,"",SUM(CA!C111:N111))</f>
        <v/>
      </c>
    </row>
    <row r="111" spans="1:14" x14ac:dyDescent="0.25">
      <c r="A111" s="1"/>
      <c r="B111" s="22" cm="1">
        <f t="array" ref="B111">Quantity!B112</f>
        <v>0</v>
      </c>
      <c r="C111" s="23" cm="1">
        <f t="array" ref="C111">Quantity!O112</f>
        <v>0</v>
      </c>
      <c r="D111" s="24" cm="1">
        <f t="array" ref="D111">CA!O112</f>
        <v>0</v>
      </c>
      <c r="E111" s="23" cm="1">
        <f t="array" ref="E111">Quantity!C112</f>
        <v>0</v>
      </c>
      <c r="F111" s="25" cm="1">
        <f t="array" ref="F111">CA!C112</f>
        <v>0</v>
      </c>
      <c r="G111" s="26" cm="1">
        <f t="array" aca="1" ref="G111" ca="1">SUMIFS(Quantity!$C112:$AH112,Quantity!$C$7:$AH$7,H$6,Quantity!$C$8:$AH$8,TRUE)</f>
        <v>0</v>
      </c>
      <c r="H111" s="24" cm="1">
        <f t="array" aca="1" ref="H111" ca="1">SUMIFS(CA!$C112:$AQ112,CA!$C$7:$AQ$7,H$6,CA!$C$8:$AQ$8,TRUE)</f>
        <v>0</v>
      </c>
      <c r="I111" s="23" cm="1">
        <f t="array" aca="1" ref="I111" ca="1">SUMIFS(Quantity!$C112:$AH112,Quantity!$C$7:$AH$7,J$6,Quantity!$C$8:$AH$8,TRUE)</f>
        <v>0</v>
      </c>
      <c r="J111" s="25" cm="1">
        <f t="array" aca="1" ref="J111" ca="1">SUMIFS(CA!$C112:$AQ112,CA!$C$7:$AQ$7,J$6,CA!$C$8:$AQ$8,TRUE)</f>
        <v>0</v>
      </c>
      <c r="K111" s="26" t="str" cm="1">
        <f t="array" ref="K111">IF(SUM(Quantity!O112:Z112)=0,"",SUM(Quantity!O112:Z112))</f>
        <v/>
      </c>
      <c r="L111" s="24" t="str" cm="1">
        <f t="array" ref="L111">IF(SUM(CA!O112:Z112)=0,"",SUM(CA!O112:Z112))</f>
        <v/>
      </c>
      <c r="M111" s="23" t="str" cm="1">
        <f t="array" ref="M111">IF(SUM(Quantity!C112:N112)=0,"",SUM(Quantity!C112:N112))</f>
        <v/>
      </c>
      <c r="N111" s="25" t="str" cm="1">
        <f t="array" ref="N111">IF(SUM(CA!C112:N112)=0,"",SUM(CA!C112:N112))</f>
        <v/>
      </c>
    </row>
    <row r="112" spans="1:14" x14ac:dyDescent="0.25">
      <c r="A112" s="1"/>
      <c r="B112" s="22" cm="1">
        <f t="array" ref="B112">Quantity!B113</f>
        <v>0</v>
      </c>
      <c r="C112" s="23" cm="1">
        <f t="array" ref="C112">Quantity!O113</f>
        <v>0</v>
      </c>
      <c r="D112" s="24" cm="1">
        <f t="array" ref="D112">CA!O113</f>
        <v>0</v>
      </c>
      <c r="E112" s="23" cm="1">
        <f t="array" ref="E112">Quantity!C113</f>
        <v>0</v>
      </c>
      <c r="F112" s="25" cm="1">
        <f t="array" ref="F112">CA!C113</f>
        <v>0</v>
      </c>
      <c r="G112" s="26" cm="1">
        <f t="array" aca="1" ref="G112" ca="1">SUMIFS(Quantity!$C113:$AH113,Quantity!$C$7:$AH$7,H$6,Quantity!$C$8:$AH$8,TRUE)</f>
        <v>0</v>
      </c>
      <c r="H112" s="24" cm="1">
        <f t="array" aca="1" ref="H112" ca="1">SUMIFS(CA!$C113:$AQ113,CA!$C$7:$AQ$7,H$6,CA!$C$8:$AQ$8,TRUE)</f>
        <v>0</v>
      </c>
      <c r="I112" s="23" cm="1">
        <f t="array" aca="1" ref="I112" ca="1">SUMIFS(Quantity!$C113:$AH113,Quantity!$C$7:$AH$7,J$6,Quantity!$C$8:$AH$8,TRUE)</f>
        <v>0</v>
      </c>
      <c r="J112" s="25" cm="1">
        <f t="array" aca="1" ref="J112" ca="1">SUMIFS(CA!$C113:$AQ113,CA!$C$7:$AQ$7,J$6,CA!$C$8:$AQ$8,TRUE)</f>
        <v>0</v>
      </c>
      <c r="K112" s="26" t="str" cm="1">
        <f t="array" ref="K112">IF(SUM(Quantity!O113:Z113)=0,"",SUM(Quantity!O113:Z113))</f>
        <v/>
      </c>
      <c r="L112" s="24" t="str" cm="1">
        <f t="array" ref="L112">IF(SUM(CA!O113:Z113)=0,"",SUM(CA!O113:Z113))</f>
        <v/>
      </c>
      <c r="M112" s="23" t="str" cm="1">
        <f t="array" ref="M112">IF(SUM(Quantity!C113:N113)=0,"",SUM(Quantity!C113:N113))</f>
        <v/>
      </c>
      <c r="N112" s="25" t="str" cm="1">
        <f t="array" ref="N112">IF(SUM(CA!C113:N113)=0,"",SUM(CA!C113:N113))</f>
        <v/>
      </c>
    </row>
    <row r="113" spans="1:14" x14ac:dyDescent="0.25">
      <c r="A113" s="1"/>
      <c r="B113" s="22" cm="1">
        <f t="array" ref="B113">Quantity!B114</f>
        <v>0</v>
      </c>
      <c r="C113" s="23" cm="1">
        <f t="array" ref="C113">Quantity!O114</f>
        <v>0</v>
      </c>
      <c r="D113" s="24" cm="1">
        <f t="array" ref="D113">CA!O114</f>
        <v>0</v>
      </c>
      <c r="E113" s="23" cm="1">
        <f t="array" ref="E113">Quantity!C114</f>
        <v>0</v>
      </c>
      <c r="F113" s="25" cm="1">
        <f t="array" ref="F113">CA!C114</f>
        <v>0</v>
      </c>
      <c r="G113" s="26" cm="1">
        <f t="array" aca="1" ref="G113" ca="1">SUMIFS(Quantity!$C114:$AH114,Quantity!$C$7:$AH$7,H$6,Quantity!$C$8:$AH$8,TRUE)</f>
        <v>0</v>
      </c>
      <c r="H113" s="24" cm="1">
        <f t="array" aca="1" ref="H113" ca="1">SUMIFS(CA!$C114:$AQ114,CA!$C$7:$AQ$7,H$6,CA!$C$8:$AQ$8,TRUE)</f>
        <v>0</v>
      </c>
      <c r="I113" s="23" cm="1">
        <f t="array" aca="1" ref="I113" ca="1">SUMIFS(Quantity!$C114:$AH114,Quantity!$C$7:$AH$7,J$6,Quantity!$C$8:$AH$8,TRUE)</f>
        <v>0</v>
      </c>
      <c r="J113" s="25" cm="1">
        <f t="array" aca="1" ref="J113" ca="1">SUMIFS(CA!$C114:$AQ114,CA!$C$7:$AQ$7,J$6,CA!$C$8:$AQ$8,TRUE)</f>
        <v>0</v>
      </c>
      <c r="K113" s="26" t="str" cm="1">
        <f t="array" ref="K113">IF(SUM(Quantity!O114:Z114)=0,"",SUM(Quantity!O114:Z114))</f>
        <v/>
      </c>
      <c r="L113" s="24" t="str" cm="1">
        <f t="array" ref="L113">IF(SUM(CA!O114:Z114)=0,"",SUM(CA!O114:Z114))</f>
        <v/>
      </c>
      <c r="M113" s="23" t="str" cm="1">
        <f t="array" ref="M113">IF(SUM(Quantity!C114:N114)=0,"",SUM(Quantity!C114:N114))</f>
        <v/>
      </c>
      <c r="N113" s="25" t="str" cm="1">
        <f t="array" ref="N113">IF(SUM(CA!C114:N114)=0,"",SUM(CA!C114:N114))</f>
        <v/>
      </c>
    </row>
    <row r="114" spans="1:14" x14ac:dyDescent="0.25">
      <c r="A114" s="1"/>
      <c r="B114" s="22" cm="1">
        <f t="array" ref="B114">Quantity!B115</f>
        <v>0</v>
      </c>
      <c r="C114" s="23" cm="1">
        <f t="array" ref="C114">Quantity!O115</f>
        <v>0</v>
      </c>
      <c r="D114" s="24" cm="1">
        <f t="array" ref="D114">CA!O115</f>
        <v>0</v>
      </c>
      <c r="E114" s="23" cm="1">
        <f t="array" ref="E114">Quantity!C115</f>
        <v>0</v>
      </c>
      <c r="F114" s="25" cm="1">
        <f t="array" ref="F114">CA!C115</f>
        <v>0</v>
      </c>
      <c r="G114" s="26" cm="1">
        <f t="array" aca="1" ref="G114" ca="1">SUMIFS(Quantity!$C115:$AH115,Quantity!$C$7:$AH$7,H$6,Quantity!$C$8:$AH$8,TRUE)</f>
        <v>0</v>
      </c>
      <c r="H114" s="24" cm="1">
        <f t="array" aca="1" ref="H114" ca="1">SUMIFS(CA!$C115:$AQ115,CA!$C$7:$AQ$7,H$6,CA!$C$8:$AQ$8,TRUE)</f>
        <v>0</v>
      </c>
      <c r="I114" s="23" cm="1">
        <f t="array" aca="1" ref="I114" ca="1">SUMIFS(Quantity!$C115:$AH115,Quantity!$C$7:$AH$7,J$6,Quantity!$C$8:$AH$8,TRUE)</f>
        <v>0</v>
      </c>
      <c r="J114" s="25" cm="1">
        <f t="array" aca="1" ref="J114" ca="1">SUMIFS(CA!$C115:$AQ115,CA!$C$7:$AQ$7,J$6,CA!$C$8:$AQ$8,TRUE)</f>
        <v>0</v>
      </c>
      <c r="K114" s="26" t="str" cm="1">
        <f t="array" ref="K114">IF(SUM(Quantity!O115:Z115)=0,"",SUM(Quantity!O115:Z115))</f>
        <v/>
      </c>
      <c r="L114" s="24" t="str" cm="1">
        <f t="array" ref="L114">IF(SUM(CA!O115:Z115)=0,"",SUM(CA!O115:Z115))</f>
        <v/>
      </c>
      <c r="M114" s="23" t="str" cm="1">
        <f t="array" ref="M114">IF(SUM(Quantity!C115:N115)=0,"",SUM(Quantity!C115:N115))</f>
        <v/>
      </c>
      <c r="N114" s="25" t="str" cm="1">
        <f t="array" ref="N114">IF(SUM(CA!C115:N115)=0,"",SUM(CA!C115:N115))</f>
        <v/>
      </c>
    </row>
    <row r="115" spans="1:14" x14ac:dyDescent="0.25">
      <c r="A115" s="1"/>
      <c r="B115" s="22" cm="1">
        <f t="array" ref="B115">Quantity!B116</f>
        <v>0</v>
      </c>
      <c r="C115" s="23" cm="1">
        <f t="array" ref="C115">Quantity!O116</f>
        <v>0</v>
      </c>
      <c r="D115" s="24" cm="1">
        <f t="array" ref="D115">CA!O116</f>
        <v>0</v>
      </c>
      <c r="E115" s="23" cm="1">
        <f t="array" ref="E115">Quantity!C116</f>
        <v>0</v>
      </c>
      <c r="F115" s="25" cm="1">
        <f t="array" ref="F115">CA!C116</f>
        <v>0</v>
      </c>
      <c r="G115" s="26" cm="1">
        <f t="array" aca="1" ref="G115" ca="1">SUMIFS(Quantity!$C116:$AH116,Quantity!$C$7:$AH$7,H$6,Quantity!$C$8:$AH$8,TRUE)</f>
        <v>0</v>
      </c>
      <c r="H115" s="24" cm="1">
        <f t="array" aca="1" ref="H115" ca="1">SUMIFS(CA!$C116:$AQ116,CA!$C$7:$AQ$7,H$6,CA!$C$8:$AQ$8,TRUE)</f>
        <v>0</v>
      </c>
      <c r="I115" s="23" cm="1">
        <f t="array" aca="1" ref="I115" ca="1">SUMIFS(Quantity!$C116:$AH116,Quantity!$C$7:$AH$7,J$6,Quantity!$C$8:$AH$8,TRUE)</f>
        <v>0</v>
      </c>
      <c r="J115" s="25" cm="1">
        <f t="array" aca="1" ref="J115" ca="1">SUMIFS(CA!$C116:$AQ116,CA!$C$7:$AQ$7,J$6,CA!$C$8:$AQ$8,TRUE)</f>
        <v>0</v>
      </c>
      <c r="K115" s="26" t="str" cm="1">
        <f t="array" ref="K115">IF(SUM(Quantity!O116:Z116)=0,"",SUM(Quantity!O116:Z116))</f>
        <v/>
      </c>
      <c r="L115" s="24" t="str" cm="1">
        <f t="array" ref="L115">IF(SUM(CA!O116:Z116)=0,"",SUM(CA!O116:Z116))</f>
        <v/>
      </c>
      <c r="M115" s="23" t="str" cm="1">
        <f t="array" ref="M115">IF(SUM(Quantity!C116:N116)=0,"",SUM(Quantity!C116:N116))</f>
        <v/>
      </c>
      <c r="N115" s="25" t="str" cm="1">
        <f t="array" ref="N115">IF(SUM(CA!C116:N116)=0,"",SUM(CA!C116:N116))</f>
        <v/>
      </c>
    </row>
    <row r="116" spans="1:14" x14ac:dyDescent="0.25">
      <c r="A116" s="1"/>
      <c r="B116" s="22" cm="1">
        <f t="array" ref="B116">Quantity!B117</f>
        <v>0</v>
      </c>
      <c r="C116" s="23" cm="1">
        <f t="array" ref="C116">Quantity!O117</f>
        <v>0</v>
      </c>
      <c r="D116" s="24" cm="1">
        <f t="array" ref="D116">CA!O117</f>
        <v>0</v>
      </c>
      <c r="E116" s="23" cm="1">
        <f t="array" ref="E116">Quantity!C117</f>
        <v>0</v>
      </c>
      <c r="F116" s="25" cm="1">
        <f t="array" ref="F116">CA!C117</f>
        <v>0</v>
      </c>
      <c r="G116" s="26" cm="1">
        <f t="array" aca="1" ref="G116" ca="1">SUMIFS(Quantity!$C117:$AH117,Quantity!$C$7:$AH$7,H$6,Quantity!$C$8:$AH$8,TRUE)</f>
        <v>0</v>
      </c>
      <c r="H116" s="24" cm="1">
        <f t="array" aca="1" ref="H116" ca="1">SUMIFS(CA!$C117:$AQ117,CA!$C$7:$AQ$7,H$6,CA!$C$8:$AQ$8,TRUE)</f>
        <v>0</v>
      </c>
      <c r="I116" s="23" cm="1">
        <f t="array" aca="1" ref="I116" ca="1">SUMIFS(Quantity!$C117:$AH117,Quantity!$C$7:$AH$7,J$6,Quantity!$C$8:$AH$8,TRUE)</f>
        <v>0</v>
      </c>
      <c r="J116" s="25" cm="1">
        <f t="array" aca="1" ref="J116" ca="1">SUMIFS(CA!$C117:$AQ117,CA!$C$7:$AQ$7,J$6,CA!$C$8:$AQ$8,TRUE)</f>
        <v>0</v>
      </c>
      <c r="K116" s="26" t="str" cm="1">
        <f t="array" ref="K116">IF(SUM(Quantity!O117:Z117)=0,"",SUM(Quantity!O117:Z117))</f>
        <v/>
      </c>
      <c r="L116" s="24" t="str" cm="1">
        <f t="array" ref="L116">IF(SUM(CA!O117:Z117)=0,"",SUM(CA!O117:Z117))</f>
        <v/>
      </c>
      <c r="M116" s="23" t="str" cm="1">
        <f t="array" ref="M116">IF(SUM(Quantity!C117:N117)=0,"",SUM(Quantity!C117:N117))</f>
        <v/>
      </c>
      <c r="N116" s="25" t="str" cm="1">
        <f t="array" ref="N116">IF(SUM(CA!C117:N117)=0,"",SUM(CA!C117:N117))</f>
        <v/>
      </c>
    </row>
    <row r="117" spans="1:14" x14ac:dyDescent="0.25">
      <c r="A117" s="1"/>
      <c r="B117" s="22" cm="1">
        <f t="array" ref="B117">Quantity!B118</f>
        <v>0</v>
      </c>
      <c r="C117" s="23" cm="1">
        <f t="array" ref="C117">Quantity!O118</f>
        <v>0</v>
      </c>
      <c r="D117" s="24" cm="1">
        <f t="array" ref="D117">CA!O118</f>
        <v>0</v>
      </c>
      <c r="E117" s="23" cm="1">
        <f t="array" ref="E117">Quantity!C118</f>
        <v>0</v>
      </c>
      <c r="F117" s="25" cm="1">
        <f t="array" ref="F117">CA!C118</f>
        <v>0</v>
      </c>
      <c r="G117" s="26" cm="1">
        <f t="array" aca="1" ref="G117" ca="1">SUMIFS(Quantity!$C118:$AH118,Quantity!$C$7:$AH$7,H$6,Quantity!$C$8:$AH$8,TRUE)</f>
        <v>0</v>
      </c>
      <c r="H117" s="24" cm="1">
        <f t="array" aca="1" ref="H117" ca="1">SUMIFS(CA!$C118:$AQ118,CA!$C$7:$AQ$7,H$6,CA!$C$8:$AQ$8,TRUE)</f>
        <v>0</v>
      </c>
      <c r="I117" s="23" cm="1">
        <f t="array" aca="1" ref="I117" ca="1">SUMIFS(Quantity!$C118:$AH118,Quantity!$C$7:$AH$7,J$6,Quantity!$C$8:$AH$8,TRUE)</f>
        <v>0</v>
      </c>
      <c r="J117" s="25" cm="1">
        <f t="array" aca="1" ref="J117" ca="1">SUMIFS(CA!$C118:$AQ118,CA!$C$7:$AQ$7,J$6,CA!$C$8:$AQ$8,TRUE)</f>
        <v>0</v>
      </c>
      <c r="K117" s="26" t="str" cm="1">
        <f t="array" ref="K117">IF(SUM(Quantity!O118:Z118)=0,"",SUM(Quantity!O118:Z118))</f>
        <v/>
      </c>
      <c r="L117" s="24" t="str" cm="1">
        <f t="array" ref="L117">IF(SUM(CA!O118:Z118)=0,"",SUM(CA!O118:Z118))</f>
        <v/>
      </c>
      <c r="M117" s="23" t="str" cm="1">
        <f t="array" ref="M117">IF(SUM(Quantity!C118:N118)=0,"",SUM(Quantity!C118:N118))</f>
        <v/>
      </c>
      <c r="N117" s="25" t="str" cm="1">
        <f t="array" ref="N117">IF(SUM(CA!C118:N118)=0,"",SUM(CA!C118:N118))</f>
        <v/>
      </c>
    </row>
    <row r="118" spans="1:14" x14ac:dyDescent="0.25">
      <c r="A118" s="1"/>
      <c r="B118" s="22" cm="1">
        <f t="array" ref="B118">Quantity!B119</f>
        <v>0</v>
      </c>
      <c r="C118" s="23" cm="1">
        <f t="array" ref="C118">Quantity!O119</f>
        <v>0</v>
      </c>
      <c r="D118" s="24" cm="1">
        <f t="array" ref="D118">CA!O119</f>
        <v>0</v>
      </c>
      <c r="E118" s="23" cm="1">
        <f t="array" ref="E118">Quantity!C119</f>
        <v>0</v>
      </c>
      <c r="F118" s="25" cm="1">
        <f t="array" ref="F118">CA!C119</f>
        <v>0</v>
      </c>
      <c r="G118" s="26" cm="1">
        <f t="array" aca="1" ref="G118" ca="1">SUMIFS(Quantity!$C119:$AH119,Quantity!$C$7:$AH$7,H$6,Quantity!$C$8:$AH$8,TRUE)</f>
        <v>0</v>
      </c>
      <c r="H118" s="24" cm="1">
        <f t="array" aca="1" ref="H118" ca="1">SUMIFS(CA!$C119:$AQ119,CA!$C$7:$AQ$7,H$6,CA!$C$8:$AQ$8,TRUE)</f>
        <v>0</v>
      </c>
      <c r="I118" s="23" cm="1">
        <f t="array" aca="1" ref="I118" ca="1">SUMIFS(Quantity!$C119:$AH119,Quantity!$C$7:$AH$7,J$6,Quantity!$C$8:$AH$8,TRUE)</f>
        <v>0</v>
      </c>
      <c r="J118" s="25" cm="1">
        <f t="array" aca="1" ref="J118" ca="1">SUMIFS(CA!$C119:$AQ119,CA!$C$7:$AQ$7,J$6,CA!$C$8:$AQ$8,TRUE)</f>
        <v>0</v>
      </c>
      <c r="K118" s="26" t="str" cm="1">
        <f t="array" ref="K118">IF(SUM(Quantity!O119:Z119)=0,"",SUM(Quantity!O119:Z119))</f>
        <v/>
      </c>
      <c r="L118" s="24" t="str" cm="1">
        <f t="array" ref="L118">IF(SUM(CA!O119:Z119)=0,"",SUM(CA!O119:Z119))</f>
        <v/>
      </c>
      <c r="M118" s="23" t="str" cm="1">
        <f t="array" ref="M118">IF(SUM(Quantity!C119:N119)=0,"",SUM(Quantity!C119:N119))</f>
        <v/>
      </c>
      <c r="N118" s="25" t="str" cm="1">
        <f t="array" ref="N118">IF(SUM(CA!C119:N119)=0,"",SUM(CA!C119:N119))</f>
        <v/>
      </c>
    </row>
    <row r="119" spans="1:14" x14ac:dyDescent="0.25">
      <c r="A119" s="1"/>
      <c r="B119" s="22" cm="1">
        <f t="array" ref="B119">Quantity!B120</f>
        <v>0</v>
      </c>
      <c r="C119" s="23" cm="1">
        <f t="array" ref="C119">Quantity!O120</f>
        <v>0</v>
      </c>
      <c r="D119" s="24" cm="1">
        <f t="array" ref="D119">CA!O120</f>
        <v>0</v>
      </c>
      <c r="E119" s="23" cm="1">
        <f t="array" ref="E119">Quantity!C120</f>
        <v>0</v>
      </c>
      <c r="F119" s="25" cm="1">
        <f t="array" ref="F119">CA!C120</f>
        <v>0</v>
      </c>
      <c r="G119" s="26" cm="1">
        <f t="array" aca="1" ref="G119" ca="1">SUMIFS(Quantity!$C120:$AH120,Quantity!$C$7:$AH$7,H$6,Quantity!$C$8:$AH$8,TRUE)</f>
        <v>0</v>
      </c>
      <c r="H119" s="24" cm="1">
        <f t="array" aca="1" ref="H119" ca="1">SUMIFS(CA!$C120:$AQ120,CA!$C$7:$AQ$7,H$6,CA!$C$8:$AQ$8,TRUE)</f>
        <v>0</v>
      </c>
      <c r="I119" s="23" cm="1">
        <f t="array" aca="1" ref="I119" ca="1">SUMIFS(Quantity!$C120:$AH120,Quantity!$C$7:$AH$7,J$6,Quantity!$C$8:$AH$8,TRUE)</f>
        <v>0</v>
      </c>
      <c r="J119" s="25" cm="1">
        <f t="array" aca="1" ref="J119" ca="1">SUMIFS(CA!$C120:$AQ120,CA!$C$7:$AQ$7,J$6,CA!$C$8:$AQ$8,TRUE)</f>
        <v>0</v>
      </c>
      <c r="K119" s="26" t="str" cm="1">
        <f t="array" ref="K119">IF(SUM(Quantity!O120:Z120)=0,"",SUM(Quantity!O120:Z120))</f>
        <v/>
      </c>
      <c r="L119" s="24" t="str" cm="1">
        <f t="array" ref="L119">IF(SUM(CA!O120:Z120)=0,"",SUM(CA!O120:Z120))</f>
        <v/>
      </c>
      <c r="M119" s="23" t="str" cm="1">
        <f t="array" ref="M119">IF(SUM(Quantity!C120:N120)=0,"",SUM(Quantity!C120:N120))</f>
        <v/>
      </c>
      <c r="N119" s="25" t="str" cm="1">
        <f t="array" ref="N119">IF(SUM(CA!C120:N120)=0,"",SUM(CA!C120:N120))</f>
        <v/>
      </c>
    </row>
    <row r="120" spans="1:14" x14ac:dyDescent="0.25">
      <c r="A120" s="1"/>
      <c r="B120" s="22" cm="1">
        <f t="array" ref="B120">Quantity!B121</f>
        <v>0</v>
      </c>
      <c r="C120" s="23" cm="1">
        <f t="array" ref="C120">Quantity!O121</f>
        <v>0</v>
      </c>
      <c r="D120" s="24" cm="1">
        <f t="array" ref="D120">CA!O121</f>
        <v>0</v>
      </c>
      <c r="E120" s="23" cm="1">
        <f t="array" ref="E120">Quantity!C121</f>
        <v>0</v>
      </c>
      <c r="F120" s="25" cm="1">
        <f t="array" ref="F120">CA!C121</f>
        <v>0</v>
      </c>
      <c r="G120" s="26" cm="1">
        <f t="array" aca="1" ref="G120" ca="1">SUMIFS(Quantity!$C121:$AH121,Quantity!$C$7:$AH$7,H$6,Quantity!$C$8:$AH$8,TRUE)</f>
        <v>0</v>
      </c>
      <c r="H120" s="24" cm="1">
        <f t="array" aca="1" ref="H120" ca="1">SUMIFS(CA!$C121:$AQ121,CA!$C$7:$AQ$7,H$6,CA!$C$8:$AQ$8,TRUE)</f>
        <v>0</v>
      </c>
      <c r="I120" s="23" cm="1">
        <f t="array" aca="1" ref="I120" ca="1">SUMIFS(Quantity!$C121:$AH121,Quantity!$C$7:$AH$7,J$6,Quantity!$C$8:$AH$8,TRUE)</f>
        <v>0</v>
      </c>
      <c r="J120" s="25" cm="1">
        <f t="array" aca="1" ref="J120" ca="1">SUMIFS(CA!$C121:$AQ121,CA!$C$7:$AQ$7,J$6,CA!$C$8:$AQ$8,TRUE)</f>
        <v>0</v>
      </c>
      <c r="K120" s="26" t="str" cm="1">
        <f t="array" ref="K120">IF(SUM(Quantity!O121:Z121)=0,"",SUM(Quantity!O121:Z121))</f>
        <v/>
      </c>
      <c r="L120" s="24" t="str" cm="1">
        <f t="array" ref="L120">IF(SUM(CA!O121:Z121)=0,"",SUM(CA!O121:Z121))</f>
        <v/>
      </c>
      <c r="M120" s="23" t="str" cm="1">
        <f t="array" ref="M120">IF(SUM(Quantity!C121:N121)=0,"",SUM(Quantity!C121:N121))</f>
        <v/>
      </c>
      <c r="N120" s="25" t="str" cm="1">
        <f t="array" ref="N120">IF(SUM(CA!C121:N121)=0,"",SUM(CA!C121:N121))</f>
        <v/>
      </c>
    </row>
    <row r="121" spans="1:14" x14ac:dyDescent="0.25">
      <c r="A121" s="1"/>
      <c r="B121" s="22" cm="1">
        <f t="array" ref="B121">Quantity!B122</f>
        <v>0</v>
      </c>
      <c r="C121" s="23" cm="1">
        <f t="array" ref="C121">Quantity!O122</f>
        <v>0</v>
      </c>
      <c r="D121" s="24" cm="1">
        <f t="array" ref="D121">CA!O122</f>
        <v>0</v>
      </c>
      <c r="E121" s="23" cm="1">
        <f t="array" ref="E121">Quantity!C122</f>
        <v>0</v>
      </c>
      <c r="F121" s="25" cm="1">
        <f t="array" ref="F121">CA!C122</f>
        <v>0</v>
      </c>
      <c r="G121" s="26" cm="1">
        <f t="array" aca="1" ref="G121" ca="1">SUMIFS(Quantity!$C122:$AH122,Quantity!$C$7:$AH$7,H$6,Quantity!$C$8:$AH$8,TRUE)</f>
        <v>0</v>
      </c>
      <c r="H121" s="24" cm="1">
        <f t="array" aca="1" ref="H121" ca="1">SUMIFS(CA!$C122:$AQ122,CA!$C$7:$AQ$7,H$6,CA!$C$8:$AQ$8,TRUE)</f>
        <v>0</v>
      </c>
      <c r="I121" s="23" cm="1">
        <f t="array" aca="1" ref="I121" ca="1">SUMIFS(Quantity!$C122:$AH122,Quantity!$C$7:$AH$7,J$6,Quantity!$C$8:$AH$8,TRUE)</f>
        <v>0</v>
      </c>
      <c r="J121" s="25" cm="1">
        <f t="array" aca="1" ref="J121" ca="1">SUMIFS(CA!$C122:$AQ122,CA!$C$7:$AQ$7,J$6,CA!$C$8:$AQ$8,TRUE)</f>
        <v>0</v>
      </c>
      <c r="K121" s="26" t="str" cm="1">
        <f t="array" ref="K121">IF(SUM(Quantity!O122:Z122)=0,"",SUM(Quantity!O122:Z122))</f>
        <v/>
      </c>
      <c r="L121" s="24" t="str" cm="1">
        <f t="array" ref="L121">IF(SUM(CA!O122:Z122)=0,"",SUM(CA!O122:Z122))</f>
        <v/>
      </c>
      <c r="M121" s="23" t="str" cm="1">
        <f t="array" ref="M121">IF(SUM(Quantity!C122:N122)=0,"",SUM(Quantity!C122:N122))</f>
        <v/>
      </c>
      <c r="N121" s="25" t="str" cm="1">
        <f t="array" ref="N121">IF(SUM(CA!C122:N122)=0,"",SUM(CA!C122:N122))</f>
        <v/>
      </c>
    </row>
    <row r="122" spans="1:14" x14ac:dyDescent="0.25">
      <c r="A122" s="1"/>
      <c r="B122" s="22" cm="1">
        <f t="array" ref="B122">Quantity!B123</f>
        <v>0</v>
      </c>
      <c r="C122" s="23" cm="1">
        <f t="array" ref="C122">Quantity!O123</f>
        <v>0</v>
      </c>
      <c r="D122" s="24" cm="1">
        <f t="array" ref="D122">CA!O123</f>
        <v>0</v>
      </c>
      <c r="E122" s="23" cm="1">
        <f t="array" ref="E122">Quantity!C123</f>
        <v>0</v>
      </c>
      <c r="F122" s="25" cm="1">
        <f t="array" ref="F122">CA!C123</f>
        <v>0</v>
      </c>
      <c r="G122" s="26" cm="1">
        <f t="array" aca="1" ref="G122" ca="1">SUMIFS(Quantity!$C123:$AH123,Quantity!$C$7:$AH$7,H$6,Quantity!$C$8:$AH$8,TRUE)</f>
        <v>0</v>
      </c>
      <c r="H122" s="24" cm="1">
        <f t="array" aca="1" ref="H122" ca="1">SUMIFS(CA!$C123:$AQ123,CA!$C$7:$AQ$7,H$6,CA!$C$8:$AQ$8,TRUE)</f>
        <v>0</v>
      </c>
      <c r="I122" s="23" cm="1">
        <f t="array" aca="1" ref="I122" ca="1">SUMIFS(Quantity!$C123:$AH123,Quantity!$C$7:$AH$7,J$6,Quantity!$C$8:$AH$8,TRUE)</f>
        <v>0</v>
      </c>
      <c r="J122" s="25" cm="1">
        <f t="array" aca="1" ref="J122" ca="1">SUMIFS(CA!$C123:$AQ123,CA!$C$7:$AQ$7,J$6,CA!$C$8:$AQ$8,TRUE)</f>
        <v>0</v>
      </c>
      <c r="K122" s="26" t="str" cm="1">
        <f t="array" ref="K122">IF(SUM(Quantity!O123:Z123)=0,"",SUM(Quantity!O123:Z123))</f>
        <v/>
      </c>
      <c r="L122" s="24" t="str" cm="1">
        <f t="array" ref="L122">IF(SUM(CA!O123:Z123)=0,"",SUM(CA!O123:Z123))</f>
        <v/>
      </c>
      <c r="M122" s="23" t="str" cm="1">
        <f t="array" ref="M122">IF(SUM(Quantity!C123:N123)=0,"",SUM(Quantity!C123:N123))</f>
        <v/>
      </c>
      <c r="N122" s="25" t="str" cm="1">
        <f t="array" ref="N122">IF(SUM(CA!C123:N123)=0,"",SUM(CA!C123:N123))</f>
        <v/>
      </c>
    </row>
    <row r="123" spans="1:14" x14ac:dyDescent="0.25">
      <c r="A123" s="1"/>
      <c r="B123" s="22" cm="1">
        <f t="array" ref="B123">Quantity!B124</f>
        <v>0</v>
      </c>
      <c r="C123" s="23" cm="1">
        <f t="array" ref="C123">Quantity!O124</f>
        <v>0</v>
      </c>
      <c r="D123" s="24" cm="1">
        <f t="array" ref="D123">CA!O124</f>
        <v>0</v>
      </c>
      <c r="E123" s="23" cm="1">
        <f t="array" ref="E123">Quantity!C124</f>
        <v>0</v>
      </c>
      <c r="F123" s="25" cm="1">
        <f t="array" ref="F123">CA!C124</f>
        <v>0</v>
      </c>
      <c r="G123" s="26" cm="1">
        <f t="array" aca="1" ref="G123" ca="1">SUMIFS(Quantity!$C124:$AH124,Quantity!$C$7:$AH$7,H$6,Quantity!$C$8:$AH$8,TRUE)</f>
        <v>0</v>
      </c>
      <c r="H123" s="24" cm="1">
        <f t="array" aca="1" ref="H123" ca="1">SUMIFS(CA!$C124:$AQ124,CA!$C$7:$AQ$7,H$6,CA!$C$8:$AQ$8,TRUE)</f>
        <v>0</v>
      </c>
      <c r="I123" s="23" cm="1">
        <f t="array" aca="1" ref="I123" ca="1">SUMIFS(Quantity!$C124:$AH124,Quantity!$C$7:$AH$7,J$6,Quantity!$C$8:$AH$8,TRUE)</f>
        <v>0</v>
      </c>
      <c r="J123" s="25" cm="1">
        <f t="array" aca="1" ref="J123" ca="1">SUMIFS(CA!$C124:$AQ124,CA!$C$7:$AQ$7,J$6,CA!$C$8:$AQ$8,TRUE)</f>
        <v>0</v>
      </c>
      <c r="K123" s="26" t="str" cm="1">
        <f t="array" ref="K123">IF(SUM(Quantity!O124:Z124)=0,"",SUM(Quantity!O124:Z124))</f>
        <v/>
      </c>
      <c r="L123" s="24" t="str" cm="1">
        <f t="array" ref="L123">IF(SUM(CA!O124:Z124)=0,"",SUM(CA!O124:Z124))</f>
        <v/>
      </c>
      <c r="M123" s="23" t="str" cm="1">
        <f t="array" ref="M123">IF(SUM(Quantity!C124:N124)=0,"",SUM(Quantity!C124:N124))</f>
        <v/>
      </c>
      <c r="N123" s="25" t="str" cm="1">
        <f t="array" ref="N123">IF(SUM(CA!C124:N124)=0,"",SUM(CA!C124:N124))</f>
        <v/>
      </c>
    </row>
    <row r="124" spans="1:14" x14ac:dyDescent="0.25">
      <c r="A124" s="1"/>
      <c r="B124" s="22" cm="1">
        <f t="array" ref="B124">Quantity!B125</f>
        <v>0</v>
      </c>
      <c r="C124" s="23" cm="1">
        <f t="array" ref="C124">Quantity!O125</f>
        <v>0</v>
      </c>
      <c r="D124" s="24" cm="1">
        <f t="array" ref="D124">CA!O125</f>
        <v>0</v>
      </c>
      <c r="E124" s="23" cm="1">
        <f t="array" ref="E124">Quantity!C125</f>
        <v>0</v>
      </c>
      <c r="F124" s="25" cm="1">
        <f t="array" ref="F124">CA!C125</f>
        <v>0</v>
      </c>
      <c r="G124" s="26" cm="1">
        <f t="array" aca="1" ref="G124" ca="1">SUMIFS(Quantity!$C125:$AH125,Quantity!$C$7:$AH$7,H$6,Quantity!$C$8:$AH$8,TRUE)</f>
        <v>0</v>
      </c>
      <c r="H124" s="24" cm="1">
        <f t="array" aca="1" ref="H124" ca="1">SUMIFS(CA!$C125:$AQ125,CA!$C$7:$AQ$7,H$6,CA!$C$8:$AQ$8,TRUE)</f>
        <v>0</v>
      </c>
      <c r="I124" s="23" cm="1">
        <f t="array" aca="1" ref="I124" ca="1">SUMIFS(Quantity!$C125:$AH125,Quantity!$C$7:$AH$7,J$6,Quantity!$C$8:$AH$8,TRUE)</f>
        <v>0</v>
      </c>
      <c r="J124" s="25" cm="1">
        <f t="array" aca="1" ref="J124" ca="1">SUMIFS(CA!$C125:$AQ125,CA!$C$7:$AQ$7,J$6,CA!$C$8:$AQ$8,TRUE)</f>
        <v>0</v>
      </c>
      <c r="K124" s="26" t="str" cm="1">
        <f t="array" ref="K124">IF(SUM(Quantity!O125:Z125)=0,"",SUM(Quantity!O125:Z125))</f>
        <v/>
      </c>
      <c r="L124" s="24" t="str" cm="1">
        <f t="array" ref="L124">IF(SUM(CA!O125:Z125)=0,"",SUM(CA!O125:Z125))</f>
        <v/>
      </c>
      <c r="M124" s="23" t="str" cm="1">
        <f t="array" ref="M124">IF(SUM(Quantity!C125:N125)=0,"",SUM(Quantity!C125:N125))</f>
        <v/>
      </c>
      <c r="N124" s="25" t="str" cm="1">
        <f t="array" ref="N124">IF(SUM(CA!C125:N125)=0,"",SUM(CA!C125:N125))</f>
        <v/>
      </c>
    </row>
    <row r="125" spans="1:14" x14ac:dyDescent="0.25">
      <c r="A125" s="1"/>
      <c r="B125" s="22" cm="1">
        <f t="array" ref="B125">Quantity!B126</f>
        <v>0</v>
      </c>
      <c r="C125" s="23" cm="1">
        <f t="array" ref="C125">Quantity!O126</f>
        <v>0</v>
      </c>
      <c r="D125" s="24" cm="1">
        <f t="array" ref="D125">CA!O126</f>
        <v>0</v>
      </c>
      <c r="E125" s="23" cm="1">
        <f t="array" ref="E125">Quantity!C126</f>
        <v>0</v>
      </c>
      <c r="F125" s="25" cm="1">
        <f t="array" ref="F125">CA!C126</f>
        <v>0</v>
      </c>
      <c r="G125" s="26" cm="1">
        <f t="array" aca="1" ref="G125" ca="1">SUMIFS(Quantity!$C126:$AH126,Quantity!$C$7:$AH$7,H$6,Quantity!$C$8:$AH$8,TRUE)</f>
        <v>0</v>
      </c>
      <c r="H125" s="24" cm="1">
        <f t="array" aca="1" ref="H125" ca="1">SUMIFS(CA!$C126:$AQ126,CA!$C$7:$AQ$7,H$6,CA!$C$8:$AQ$8,TRUE)</f>
        <v>0</v>
      </c>
      <c r="I125" s="23" cm="1">
        <f t="array" aca="1" ref="I125" ca="1">SUMIFS(Quantity!$C126:$AH126,Quantity!$C$7:$AH$7,J$6,Quantity!$C$8:$AH$8,TRUE)</f>
        <v>0</v>
      </c>
      <c r="J125" s="25" cm="1">
        <f t="array" aca="1" ref="J125" ca="1">SUMIFS(CA!$C126:$AQ126,CA!$C$7:$AQ$7,J$6,CA!$C$8:$AQ$8,TRUE)</f>
        <v>0</v>
      </c>
      <c r="K125" s="26" t="str" cm="1">
        <f t="array" ref="K125">IF(SUM(Quantity!O126:Z126)=0,"",SUM(Quantity!O126:Z126))</f>
        <v/>
      </c>
      <c r="L125" s="24" t="str" cm="1">
        <f t="array" ref="L125">IF(SUM(CA!O126:Z126)=0,"",SUM(CA!O126:Z126))</f>
        <v/>
      </c>
      <c r="M125" s="23" t="str" cm="1">
        <f t="array" ref="M125">IF(SUM(Quantity!C126:N126)=0,"",SUM(Quantity!C126:N126))</f>
        <v/>
      </c>
      <c r="N125" s="25" t="str" cm="1">
        <f t="array" ref="N125">IF(SUM(CA!C126:N126)=0,"",SUM(CA!C126:N126))</f>
        <v/>
      </c>
    </row>
    <row r="126" spans="1:14" x14ac:dyDescent="0.25">
      <c r="A126" s="1"/>
      <c r="B126" s="22" cm="1">
        <f t="array" ref="B126">Quantity!B127</f>
        <v>0</v>
      </c>
      <c r="C126" s="23" cm="1">
        <f t="array" ref="C126">Quantity!O127</f>
        <v>0</v>
      </c>
      <c r="D126" s="24" cm="1">
        <f t="array" ref="D126">CA!O127</f>
        <v>0</v>
      </c>
      <c r="E126" s="23" cm="1">
        <f t="array" ref="E126">Quantity!C127</f>
        <v>0</v>
      </c>
      <c r="F126" s="25" cm="1">
        <f t="array" ref="F126">CA!C127</f>
        <v>0</v>
      </c>
      <c r="G126" s="26" cm="1">
        <f t="array" aca="1" ref="G126" ca="1">SUMIFS(Quantity!$C127:$AH127,Quantity!$C$7:$AH$7,H$6,Quantity!$C$8:$AH$8,TRUE)</f>
        <v>0</v>
      </c>
      <c r="H126" s="24" cm="1">
        <f t="array" aca="1" ref="H126" ca="1">SUMIFS(CA!$C127:$AQ127,CA!$C$7:$AQ$7,H$6,CA!$C$8:$AQ$8,TRUE)</f>
        <v>0</v>
      </c>
      <c r="I126" s="23" cm="1">
        <f t="array" aca="1" ref="I126" ca="1">SUMIFS(Quantity!$C127:$AH127,Quantity!$C$7:$AH$7,J$6,Quantity!$C$8:$AH$8,TRUE)</f>
        <v>0</v>
      </c>
      <c r="J126" s="25" cm="1">
        <f t="array" aca="1" ref="J126" ca="1">SUMIFS(CA!$C127:$AQ127,CA!$C$7:$AQ$7,J$6,CA!$C$8:$AQ$8,TRUE)</f>
        <v>0</v>
      </c>
      <c r="K126" s="26" t="str" cm="1">
        <f t="array" ref="K126">IF(SUM(Quantity!O127:Z127)=0,"",SUM(Quantity!O127:Z127))</f>
        <v/>
      </c>
      <c r="L126" s="24" t="str" cm="1">
        <f t="array" ref="L126">IF(SUM(CA!O127:Z127)=0,"",SUM(CA!O127:Z127))</f>
        <v/>
      </c>
      <c r="M126" s="23" t="str" cm="1">
        <f t="array" ref="M126">IF(SUM(Quantity!C127:N127)=0,"",SUM(Quantity!C127:N127))</f>
        <v/>
      </c>
      <c r="N126" s="25" t="str" cm="1">
        <f t="array" ref="N126">IF(SUM(CA!C127:N127)=0,"",SUM(CA!C127:N127))</f>
        <v/>
      </c>
    </row>
    <row r="127" spans="1:14" x14ac:dyDescent="0.25">
      <c r="A127" s="1"/>
      <c r="B127" s="22" cm="1">
        <f t="array" ref="B127">Quantity!B128</f>
        <v>0</v>
      </c>
      <c r="C127" s="23" cm="1">
        <f t="array" ref="C127">Quantity!O128</f>
        <v>0</v>
      </c>
      <c r="D127" s="24" cm="1">
        <f t="array" ref="D127">CA!O128</f>
        <v>0</v>
      </c>
      <c r="E127" s="23" cm="1">
        <f t="array" ref="E127">Quantity!C128</f>
        <v>0</v>
      </c>
      <c r="F127" s="25" cm="1">
        <f t="array" ref="F127">CA!C128</f>
        <v>0</v>
      </c>
      <c r="G127" s="26" cm="1">
        <f t="array" aca="1" ref="G127" ca="1">SUMIFS(Quantity!$C128:$AH128,Quantity!$C$7:$AH$7,H$6,Quantity!$C$8:$AH$8,TRUE)</f>
        <v>0</v>
      </c>
      <c r="H127" s="24" cm="1">
        <f t="array" aca="1" ref="H127" ca="1">SUMIFS(CA!$C128:$AQ128,CA!$C$7:$AQ$7,H$6,CA!$C$8:$AQ$8,TRUE)</f>
        <v>0</v>
      </c>
      <c r="I127" s="23" cm="1">
        <f t="array" aca="1" ref="I127" ca="1">SUMIFS(Quantity!$C128:$AH128,Quantity!$C$7:$AH$7,J$6,Quantity!$C$8:$AH$8,TRUE)</f>
        <v>0</v>
      </c>
      <c r="J127" s="25" cm="1">
        <f t="array" aca="1" ref="J127" ca="1">SUMIFS(CA!$C128:$AQ128,CA!$C$7:$AQ$7,J$6,CA!$C$8:$AQ$8,TRUE)</f>
        <v>0</v>
      </c>
      <c r="K127" s="26" t="str" cm="1">
        <f t="array" ref="K127">IF(SUM(Quantity!O128:Z128)=0,"",SUM(Quantity!O128:Z128))</f>
        <v/>
      </c>
      <c r="L127" s="24" t="str" cm="1">
        <f t="array" ref="L127">IF(SUM(CA!O128:Z128)=0,"",SUM(CA!O128:Z128))</f>
        <v/>
      </c>
      <c r="M127" s="23" t="str" cm="1">
        <f t="array" ref="M127">IF(SUM(Quantity!C128:N128)=0,"",SUM(Quantity!C128:N128))</f>
        <v/>
      </c>
      <c r="N127" s="25" t="str" cm="1">
        <f t="array" ref="N127">IF(SUM(CA!C128:N128)=0,"",SUM(CA!C128:N128))</f>
        <v/>
      </c>
    </row>
    <row r="128" spans="1:14" x14ac:dyDescent="0.25">
      <c r="A128" s="1"/>
      <c r="B128" s="22" cm="1">
        <f t="array" ref="B128">Quantity!B129</f>
        <v>0</v>
      </c>
      <c r="C128" s="23" cm="1">
        <f t="array" ref="C128">Quantity!O129</f>
        <v>0</v>
      </c>
      <c r="D128" s="24" cm="1">
        <f t="array" ref="D128">CA!O129</f>
        <v>0</v>
      </c>
      <c r="E128" s="23" cm="1">
        <f t="array" ref="E128">Quantity!C129</f>
        <v>0</v>
      </c>
      <c r="F128" s="25" cm="1">
        <f t="array" ref="F128">CA!C129</f>
        <v>0</v>
      </c>
      <c r="G128" s="26" cm="1">
        <f t="array" aca="1" ref="G128" ca="1">SUMIFS(Quantity!$C129:$AH129,Quantity!$C$7:$AH$7,H$6,Quantity!$C$8:$AH$8,TRUE)</f>
        <v>0</v>
      </c>
      <c r="H128" s="24" cm="1">
        <f t="array" aca="1" ref="H128" ca="1">SUMIFS(CA!$C129:$AQ129,CA!$C$7:$AQ$7,H$6,CA!$C$8:$AQ$8,TRUE)</f>
        <v>0</v>
      </c>
      <c r="I128" s="23" cm="1">
        <f t="array" aca="1" ref="I128" ca="1">SUMIFS(Quantity!$C129:$AH129,Quantity!$C$7:$AH$7,J$6,Quantity!$C$8:$AH$8,TRUE)</f>
        <v>0</v>
      </c>
      <c r="J128" s="25" cm="1">
        <f t="array" aca="1" ref="J128" ca="1">SUMIFS(CA!$C129:$AQ129,CA!$C$7:$AQ$7,J$6,CA!$C$8:$AQ$8,TRUE)</f>
        <v>0</v>
      </c>
      <c r="K128" s="26" t="str" cm="1">
        <f t="array" ref="K128">IF(SUM(Quantity!O129:Z129)=0,"",SUM(Quantity!O129:Z129))</f>
        <v/>
      </c>
      <c r="L128" s="24" t="str" cm="1">
        <f t="array" ref="L128">IF(SUM(CA!O129:Z129)=0,"",SUM(CA!O129:Z129))</f>
        <v/>
      </c>
      <c r="M128" s="23" t="str" cm="1">
        <f t="array" ref="M128">IF(SUM(Quantity!C129:N129)=0,"",SUM(Quantity!C129:N129))</f>
        <v/>
      </c>
      <c r="N128" s="25" t="str" cm="1">
        <f t="array" ref="N128">IF(SUM(CA!C129:N129)=0,"",SUM(CA!C129:N129))</f>
        <v/>
      </c>
    </row>
    <row r="129" spans="1:14" x14ac:dyDescent="0.25">
      <c r="A129" s="1"/>
      <c r="B129" s="22" cm="1">
        <f t="array" ref="B129">Quantity!B130</f>
        <v>0</v>
      </c>
      <c r="C129" s="23" cm="1">
        <f t="array" ref="C129">Quantity!O130</f>
        <v>0</v>
      </c>
      <c r="D129" s="24" cm="1">
        <f t="array" ref="D129">CA!O130</f>
        <v>0</v>
      </c>
      <c r="E129" s="23" cm="1">
        <f t="array" ref="E129">Quantity!C130</f>
        <v>0</v>
      </c>
      <c r="F129" s="25" cm="1">
        <f t="array" ref="F129">CA!C130</f>
        <v>0</v>
      </c>
      <c r="G129" s="26" cm="1">
        <f t="array" aca="1" ref="G129" ca="1">SUMIFS(Quantity!$C130:$AH130,Quantity!$C$7:$AH$7,H$6,Quantity!$C$8:$AH$8,TRUE)</f>
        <v>0</v>
      </c>
      <c r="H129" s="24" cm="1">
        <f t="array" aca="1" ref="H129" ca="1">SUMIFS(CA!$C130:$AQ130,CA!$C$7:$AQ$7,H$6,CA!$C$8:$AQ$8,TRUE)</f>
        <v>0</v>
      </c>
      <c r="I129" s="23" cm="1">
        <f t="array" aca="1" ref="I129" ca="1">SUMIFS(Quantity!$C130:$AH130,Quantity!$C$7:$AH$7,J$6,Quantity!$C$8:$AH$8,TRUE)</f>
        <v>0</v>
      </c>
      <c r="J129" s="25" cm="1">
        <f t="array" aca="1" ref="J129" ca="1">SUMIFS(CA!$C130:$AQ130,CA!$C$7:$AQ$7,J$6,CA!$C$8:$AQ$8,TRUE)</f>
        <v>0</v>
      </c>
      <c r="K129" s="26" t="str" cm="1">
        <f t="array" ref="K129">IF(SUM(Quantity!O130:Z130)=0,"",SUM(Quantity!O130:Z130))</f>
        <v/>
      </c>
      <c r="L129" s="24" t="str" cm="1">
        <f t="array" ref="L129">IF(SUM(CA!O130:Z130)=0,"",SUM(CA!O130:Z130))</f>
        <v/>
      </c>
      <c r="M129" s="23" t="str" cm="1">
        <f t="array" ref="M129">IF(SUM(Quantity!C130:N130)=0,"",SUM(Quantity!C130:N130))</f>
        <v/>
      </c>
      <c r="N129" s="25" t="str" cm="1">
        <f t="array" ref="N129">IF(SUM(CA!C130:N130)=0,"",SUM(CA!C130:N130))</f>
        <v/>
      </c>
    </row>
    <row r="130" spans="1:14" x14ac:dyDescent="0.25">
      <c r="A130" s="1"/>
      <c r="B130" s="22" cm="1">
        <f t="array" ref="B130">Quantity!B131</f>
        <v>0</v>
      </c>
      <c r="C130" s="23" cm="1">
        <f t="array" ref="C130">Quantity!O131</f>
        <v>0</v>
      </c>
      <c r="D130" s="24" cm="1">
        <f t="array" ref="D130">CA!O131</f>
        <v>0</v>
      </c>
      <c r="E130" s="23" cm="1">
        <f t="array" ref="E130">Quantity!C131</f>
        <v>0</v>
      </c>
      <c r="F130" s="25" cm="1">
        <f t="array" ref="F130">CA!C131</f>
        <v>0</v>
      </c>
      <c r="G130" s="26" cm="1">
        <f t="array" aca="1" ref="G130" ca="1">SUMIFS(Quantity!$C131:$AH131,Quantity!$C$7:$AH$7,H$6,Quantity!$C$8:$AH$8,TRUE)</f>
        <v>0</v>
      </c>
      <c r="H130" s="24" cm="1">
        <f t="array" aca="1" ref="H130" ca="1">SUMIFS(CA!$C131:$AQ131,CA!$C$7:$AQ$7,H$6,CA!$C$8:$AQ$8,TRUE)</f>
        <v>0</v>
      </c>
      <c r="I130" s="23" cm="1">
        <f t="array" aca="1" ref="I130" ca="1">SUMIFS(Quantity!$C131:$AH131,Quantity!$C$7:$AH$7,J$6,Quantity!$C$8:$AH$8,TRUE)</f>
        <v>0</v>
      </c>
      <c r="J130" s="25" cm="1">
        <f t="array" aca="1" ref="J130" ca="1">SUMIFS(CA!$C131:$AQ131,CA!$C$7:$AQ$7,J$6,CA!$C$8:$AQ$8,TRUE)</f>
        <v>0</v>
      </c>
      <c r="K130" s="26" t="str" cm="1">
        <f t="array" ref="K130">IF(SUM(Quantity!O131:Z131)=0,"",SUM(Quantity!O131:Z131))</f>
        <v/>
      </c>
      <c r="L130" s="24" t="str" cm="1">
        <f t="array" ref="L130">IF(SUM(CA!O131:Z131)=0,"",SUM(CA!O131:Z131))</f>
        <v/>
      </c>
      <c r="M130" s="23" t="str" cm="1">
        <f t="array" ref="M130">IF(SUM(Quantity!C131:N131)=0,"",SUM(Quantity!C131:N131))</f>
        <v/>
      </c>
      <c r="N130" s="25" t="str" cm="1">
        <f t="array" ref="N130">IF(SUM(CA!C131:N131)=0,"",SUM(CA!C131:N131))</f>
        <v/>
      </c>
    </row>
    <row r="131" spans="1:14" x14ac:dyDescent="0.25">
      <c r="A131" s="1"/>
      <c r="B131" s="22" cm="1">
        <f t="array" ref="B131">Quantity!B132</f>
        <v>0</v>
      </c>
      <c r="C131" s="23" cm="1">
        <f t="array" ref="C131">Quantity!O132</f>
        <v>0</v>
      </c>
      <c r="D131" s="24" cm="1">
        <f t="array" ref="D131">CA!O132</f>
        <v>0</v>
      </c>
      <c r="E131" s="23" cm="1">
        <f t="array" ref="E131">Quantity!C132</f>
        <v>0</v>
      </c>
      <c r="F131" s="25" cm="1">
        <f t="array" ref="F131">CA!C132</f>
        <v>0</v>
      </c>
      <c r="G131" s="26" cm="1">
        <f t="array" aca="1" ref="G131" ca="1">SUMIFS(Quantity!$C132:$AH132,Quantity!$C$7:$AH$7,H$6,Quantity!$C$8:$AH$8,TRUE)</f>
        <v>0</v>
      </c>
      <c r="H131" s="24" cm="1">
        <f t="array" aca="1" ref="H131" ca="1">SUMIFS(CA!$C132:$AQ132,CA!$C$7:$AQ$7,H$6,CA!$C$8:$AQ$8,TRUE)</f>
        <v>0</v>
      </c>
      <c r="I131" s="23" cm="1">
        <f t="array" aca="1" ref="I131" ca="1">SUMIFS(Quantity!$C132:$AH132,Quantity!$C$7:$AH$7,J$6,Quantity!$C$8:$AH$8,TRUE)</f>
        <v>0</v>
      </c>
      <c r="J131" s="25" cm="1">
        <f t="array" aca="1" ref="J131" ca="1">SUMIFS(CA!$C132:$AQ132,CA!$C$7:$AQ$7,J$6,CA!$C$8:$AQ$8,TRUE)</f>
        <v>0</v>
      </c>
      <c r="K131" s="26" t="str" cm="1">
        <f t="array" ref="K131">IF(SUM(Quantity!O132:Z132)=0,"",SUM(Quantity!O132:Z132))</f>
        <v/>
      </c>
      <c r="L131" s="24" t="str" cm="1">
        <f t="array" ref="L131">IF(SUM(CA!O132:Z132)=0,"",SUM(CA!O132:Z132))</f>
        <v/>
      </c>
      <c r="M131" s="23" t="str" cm="1">
        <f t="array" ref="M131">IF(SUM(Quantity!C132:N132)=0,"",SUM(Quantity!C132:N132))</f>
        <v/>
      </c>
      <c r="N131" s="25" t="str" cm="1">
        <f t="array" ref="N131">IF(SUM(CA!C132:N132)=0,"",SUM(CA!C132:N132))</f>
        <v/>
      </c>
    </row>
    <row r="132" spans="1:14" x14ac:dyDescent="0.25">
      <c r="A132" s="1"/>
      <c r="B132" s="22" cm="1">
        <f t="array" ref="B132">Quantity!B133</f>
        <v>0</v>
      </c>
      <c r="C132" s="23" cm="1">
        <f t="array" ref="C132">Quantity!O133</f>
        <v>0</v>
      </c>
      <c r="D132" s="24" cm="1">
        <f t="array" ref="D132">CA!O133</f>
        <v>0</v>
      </c>
      <c r="E132" s="23" cm="1">
        <f t="array" ref="E132">Quantity!C133</f>
        <v>0</v>
      </c>
      <c r="F132" s="25" cm="1">
        <f t="array" ref="F132">CA!C133</f>
        <v>0</v>
      </c>
      <c r="G132" s="26" cm="1">
        <f t="array" aca="1" ref="G132" ca="1">SUMIFS(Quantity!$C133:$AH133,Quantity!$C$7:$AH$7,H$6,Quantity!$C$8:$AH$8,TRUE)</f>
        <v>0</v>
      </c>
      <c r="H132" s="24" cm="1">
        <f t="array" aca="1" ref="H132" ca="1">SUMIFS(CA!$C133:$AQ133,CA!$C$7:$AQ$7,H$6,CA!$C$8:$AQ$8,TRUE)</f>
        <v>0</v>
      </c>
      <c r="I132" s="23" cm="1">
        <f t="array" aca="1" ref="I132" ca="1">SUMIFS(Quantity!$C133:$AH133,Quantity!$C$7:$AH$7,J$6,Quantity!$C$8:$AH$8,TRUE)</f>
        <v>0</v>
      </c>
      <c r="J132" s="25" cm="1">
        <f t="array" aca="1" ref="J132" ca="1">SUMIFS(CA!$C133:$AQ133,CA!$C$7:$AQ$7,J$6,CA!$C$8:$AQ$8,TRUE)</f>
        <v>0</v>
      </c>
      <c r="K132" s="26" t="str" cm="1">
        <f t="array" ref="K132">IF(SUM(Quantity!O133:Z133)=0,"",SUM(Quantity!O133:Z133))</f>
        <v/>
      </c>
      <c r="L132" s="24" t="str" cm="1">
        <f t="array" ref="L132">IF(SUM(CA!O133:Z133)=0,"",SUM(CA!O133:Z133))</f>
        <v/>
      </c>
      <c r="M132" s="23" t="str" cm="1">
        <f t="array" ref="M132">IF(SUM(Quantity!C133:N133)=0,"",SUM(Quantity!C133:N133))</f>
        <v/>
      </c>
      <c r="N132" s="25" t="str" cm="1">
        <f t="array" ref="N132">IF(SUM(CA!C133:N133)=0,"",SUM(CA!C133:N133))</f>
        <v/>
      </c>
    </row>
    <row r="133" spans="1:14" x14ac:dyDescent="0.25">
      <c r="A133" s="1"/>
      <c r="B133" s="22" cm="1">
        <f t="array" ref="B133">Quantity!B134</f>
        <v>0</v>
      </c>
      <c r="C133" s="23" cm="1">
        <f t="array" ref="C133">Quantity!O134</f>
        <v>0</v>
      </c>
      <c r="D133" s="24" cm="1">
        <f t="array" ref="D133">CA!O134</f>
        <v>0</v>
      </c>
      <c r="E133" s="23" cm="1">
        <f t="array" ref="E133">Quantity!C134</f>
        <v>0</v>
      </c>
      <c r="F133" s="25" cm="1">
        <f t="array" ref="F133">CA!C134</f>
        <v>0</v>
      </c>
      <c r="G133" s="26" cm="1">
        <f t="array" aca="1" ref="G133" ca="1">SUMIFS(Quantity!$C134:$AH134,Quantity!$C$7:$AH$7,H$6,Quantity!$C$8:$AH$8,TRUE)</f>
        <v>0</v>
      </c>
      <c r="H133" s="24" cm="1">
        <f t="array" aca="1" ref="H133" ca="1">SUMIFS(CA!$C134:$AQ134,CA!$C$7:$AQ$7,H$6,CA!$C$8:$AQ$8,TRUE)</f>
        <v>0</v>
      </c>
      <c r="I133" s="23" cm="1">
        <f t="array" aca="1" ref="I133" ca="1">SUMIFS(Quantity!$C134:$AH134,Quantity!$C$7:$AH$7,J$6,Quantity!$C$8:$AH$8,TRUE)</f>
        <v>0</v>
      </c>
      <c r="J133" s="25" cm="1">
        <f t="array" aca="1" ref="J133" ca="1">SUMIFS(CA!$C134:$AQ134,CA!$C$7:$AQ$7,J$6,CA!$C$8:$AQ$8,TRUE)</f>
        <v>0</v>
      </c>
      <c r="K133" s="26" t="str" cm="1">
        <f t="array" ref="K133">IF(SUM(Quantity!O134:Z134)=0,"",SUM(Quantity!O134:Z134))</f>
        <v/>
      </c>
      <c r="L133" s="24" t="str" cm="1">
        <f t="array" ref="L133">IF(SUM(CA!O134:Z134)=0,"",SUM(CA!O134:Z134))</f>
        <v/>
      </c>
      <c r="M133" s="23" t="str" cm="1">
        <f t="array" ref="M133">IF(SUM(Quantity!C134:N134)=0,"",SUM(Quantity!C134:N134))</f>
        <v/>
      </c>
      <c r="N133" s="25" t="str" cm="1">
        <f t="array" ref="N133">IF(SUM(CA!C134:N134)=0,"",SUM(CA!C134:N134))</f>
        <v/>
      </c>
    </row>
    <row r="134" spans="1:14" x14ac:dyDescent="0.25">
      <c r="A134" s="1"/>
      <c r="B134" s="22" cm="1">
        <f t="array" ref="B134">Quantity!B135</f>
        <v>0</v>
      </c>
      <c r="C134" s="23" cm="1">
        <f t="array" ref="C134">Quantity!O135</f>
        <v>0</v>
      </c>
      <c r="D134" s="24" cm="1">
        <f t="array" ref="D134">CA!O135</f>
        <v>0</v>
      </c>
      <c r="E134" s="23" cm="1">
        <f t="array" ref="E134">Quantity!C135</f>
        <v>0</v>
      </c>
      <c r="F134" s="25" cm="1">
        <f t="array" ref="F134">CA!C135</f>
        <v>0</v>
      </c>
      <c r="G134" s="26" cm="1">
        <f t="array" aca="1" ref="G134" ca="1">SUMIFS(Quantity!$C135:$AH135,Quantity!$C$7:$AH$7,H$6,Quantity!$C$8:$AH$8,TRUE)</f>
        <v>0</v>
      </c>
      <c r="H134" s="24" cm="1">
        <f t="array" aca="1" ref="H134" ca="1">SUMIFS(CA!$C135:$AQ135,CA!$C$7:$AQ$7,H$6,CA!$C$8:$AQ$8,TRUE)</f>
        <v>0</v>
      </c>
      <c r="I134" s="23" cm="1">
        <f t="array" aca="1" ref="I134" ca="1">SUMIFS(Quantity!$C135:$AH135,Quantity!$C$7:$AH$7,J$6,Quantity!$C$8:$AH$8,TRUE)</f>
        <v>0</v>
      </c>
      <c r="J134" s="25" cm="1">
        <f t="array" aca="1" ref="J134" ca="1">SUMIFS(CA!$C135:$AQ135,CA!$C$7:$AQ$7,J$6,CA!$C$8:$AQ$8,TRUE)</f>
        <v>0</v>
      </c>
      <c r="K134" s="26" t="str" cm="1">
        <f t="array" ref="K134">IF(SUM(Quantity!O135:Z135)=0,"",SUM(Quantity!O135:Z135))</f>
        <v/>
      </c>
      <c r="L134" s="24" t="str" cm="1">
        <f t="array" ref="L134">IF(SUM(CA!O135:Z135)=0,"",SUM(CA!O135:Z135))</f>
        <v/>
      </c>
      <c r="M134" s="23" t="str" cm="1">
        <f t="array" ref="M134">IF(SUM(Quantity!C135:N135)=0,"",SUM(Quantity!C135:N135))</f>
        <v/>
      </c>
      <c r="N134" s="25" t="str" cm="1">
        <f t="array" ref="N134">IF(SUM(CA!C135:N135)=0,"",SUM(CA!C135:N135))</f>
        <v/>
      </c>
    </row>
    <row r="135" spans="1:14" x14ac:dyDescent="0.25">
      <c r="A135" s="1"/>
      <c r="B135" s="22" cm="1">
        <f t="array" ref="B135">Quantity!B136</f>
        <v>0</v>
      </c>
      <c r="C135" s="23" cm="1">
        <f t="array" ref="C135">Quantity!O136</f>
        <v>0</v>
      </c>
      <c r="D135" s="24" cm="1">
        <f t="array" ref="D135">CA!O136</f>
        <v>0</v>
      </c>
      <c r="E135" s="23" cm="1">
        <f t="array" ref="E135">Quantity!C136</f>
        <v>0</v>
      </c>
      <c r="F135" s="25" cm="1">
        <f t="array" ref="F135">CA!C136</f>
        <v>0</v>
      </c>
      <c r="G135" s="26" cm="1">
        <f t="array" aca="1" ref="G135" ca="1">SUMIFS(Quantity!$C136:$AH136,Quantity!$C$7:$AH$7,H$6,Quantity!$C$8:$AH$8,TRUE)</f>
        <v>0</v>
      </c>
      <c r="H135" s="24" cm="1">
        <f t="array" aca="1" ref="H135" ca="1">SUMIFS(CA!$C136:$AQ136,CA!$C$7:$AQ$7,H$6,CA!$C$8:$AQ$8,TRUE)</f>
        <v>0</v>
      </c>
      <c r="I135" s="23" cm="1">
        <f t="array" aca="1" ref="I135" ca="1">SUMIFS(Quantity!$C136:$AH136,Quantity!$C$7:$AH$7,J$6,Quantity!$C$8:$AH$8,TRUE)</f>
        <v>0</v>
      </c>
      <c r="J135" s="25" cm="1">
        <f t="array" aca="1" ref="J135" ca="1">SUMIFS(CA!$C136:$AQ136,CA!$C$7:$AQ$7,J$6,CA!$C$8:$AQ$8,TRUE)</f>
        <v>0</v>
      </c>
      <c r="K135" s="26" t="str" cm="1">
        <f t="array" ref="K135">IF(SUM(Quantity!O136:Z136)=0,"",SUM(Quantity!O136:Z136))</f>
        <v/>
      </c>
      <c r="L135" s="24" t="str" cm="1">
        <f t="array" ref="L135">IF(SUM(CA!O136:Z136)=0,"",SUM(CA!O136:Z136))</f>
        <v/>
      </c>
      <c r="M135" s="23" t="str" cm="1">
        <f t="array" ref="M135">IF(SUM(Quantity!C136:N136)=0,"",SUM(Quantity!C136:N136))</f>
        <v/>
      </c>
      <c r="N135" s="25" t="str" cm="1">
        <f t="array" ref="N135">IF(SUM(CA!C136:N136)=0,"",SUM(CA!C136:N136))</f>
        <v/>
      </c>
    </row>
    <row r="136" spans="1:14" x14ac:dyDescent="0.25">
      <c r="A136" s="1"/>
      <c r="B136" s="22" cm="1">
        <f t="array" ref="B136">Quantity!B137</f>
        <v>0</v>
      </c>
      <c r="C136" s="23" cm="1">
        <f t="array" ref="C136">Quantity!O137</f>
        <v>0</v>
      </c>
      <c r="D136" s="24" cm="1">
        <f t="array" ref="D136">CA!O137</f>
        <v>0</v>
      </c>
      <c r="E136" s="23" cm="1">
        <f t="array" ref="E136">Quantity!C137</f>
        <v>0</v>
      </c>
      <c r="F136" s="25" cm="1">
        <f t="array" ref="F136">CA!C137</f>
        <v>0</v>
      </c>
      <c r="G136" s="26" cm="1">
        <f t="array" aca="1" ref="G136" ca="1">SUMIFS(Quantity!$C137:$AH137,Quantity!$C$7:$AH$7,H$6,Quantity!$C$8:$AH$8,TRUE)</f>
        <v>0</v>
      </c>
      <c r="H136" s="24" cm="1">
        <f t="array" aca="1" ref="H136" ca="1">SUMIFS(CA!$C137:$AQ137,CA!$C$7:$AQ$7,H$6,CA!$C$8:$AQ$8,TRUE)</f>
        <v>0</v>
      </c>
      <c r="I136" s="23" cm="1">
        <f t="array" aca="1" ref="I136" ca="1">SUMIFS(Quantity!$C137:$AH137,Quantity!$C$7:$AH$7,J$6,Quantity!$C$8:$AH$8,TRUE)</f>
        <v>0</v>
      </c>
      <c r="J136" s="25" cm="1">
        <f t="array" aca="1" ref="J136" ca="1">SUMIFS(CA!$C137:$AQ137,CA!$C$7:$AQ$7,J$6,CA!$C$8:$AQ$8,TRUE)</f>
        <v>0</v>
      </c>
      <c r="K136" s="26" t="str" cm="1">
        <f t="array" ref="K136">IF(SUM(Quantity!O137:Z137)=0,"",SUM(Quantity!O137:Z137))</f>
        <v/>
      </c>
      <c r="L136" s="24" t="str" cm="1">
        <f t="array" ref="L136">IF(SUM(CA!O137:Z137)=0,"",SUM(CA!O137:Z137))</f>
        <v/>
      </c>
      <c r="M136" s="23" t="str" cm="1">
        <f t="array" ref="M136">IF(SUM(Quantity!C137:N137)=0,"",SUM(Quantity!C137:N137))</f>
        <v/>
      </c>
      <c r="N136" s="25" t="str" cm="1">
        <f t="array" ref="N136">IF(SUM(CA!C137:N137)=0,"",SUM(CA!C137:N137))</f>
        <v/>
      </c>
    </row>
    <row r="137" spans="1:14" x14ac:dyDescent="0.25">
      <c r="A137" s="1"/>
      <c r="B137" s="22" cm="1">
        <f t="array" ref="B137">Quantity!B138</f>
        <v>0</v>
      </c>
      <c r="C137" s="23" cm="1">
        <f t="array" ref="C137">Quantity!O138</f>
        <v>0</v>
      </c>
      <c r="D137" s="24" cm="1">
        <f t="array" ref="D137">CA!O138</f>
        <v>0</v>
      </c>
      <c r="E137" s="23" cm="1">
        <f t="array" ref="E137">Quantity!C138</f>
        <v>0</v>
      </c>
      <c r="F137" s="25" cm="1">
        <f t="array" ref="F137">CA!C138</f>
        <v>0</v>
      </c>
      <c r="G137" s="26" cm="1">
        <f t="array" aca="1" ref="G137" ca="1">SUMIFS(Quantity!$C138:$AH138,Quantity!$C$7:$AH$7,H$6,Quantity!$C$8:$AH$8,TRUE)</f>
        <v>0</v>
      </c>
      <c r="H137" s="24" cm="1">
        <f t="array" aca="1" ref="H137" ca="1">SUMIFS(CA!$C138:$AQ138,CA!$C$7:$AQ$7,H$6,CA!$C$8:$AQ$8,TRUE)</f>
        <v>0</v>
      </c>
      <c r="I137" s="23" cm="1">
        <f t="array" aca="1" ref="I137" ca="1">SUMIFS(Quantity!$C138:$AH138,Quantity!$C$7:$AH$7,J$6,Quantity!$C$8:$AH$8,TRUE)</f>
        <v>0</v>
      </c>
      <c r="J137" s="25" cm="1">
        <f t="array" aca="1" ref="J137" ca="1">SUMIFS(CA!$C138:$AQ138,CA!$C$7:$AQ$7,J$6,CA!$C$8:$AQ$8,TRUE)</f>
        <v>0</v>
      </c>
      <c r="K137" s="26" t="str" cm="1">
        <f t="array" ref="K137">IF(SUM(Quantity!O138:Z138)=0,"",SUM(Quantity!O138:Z138))</f>
        <v/>
      </c>
      <c r="L137" s="24" t="str" cm="1">
        <f t="array" ref="L137">IF(SUM(CA!O138:Z138)=0,"",SUM(CA!O138:Z138))</f>
        <v/>
      </c>
      <c r="M137" s="23" t="str" cm="1">
        <f t="array" ref="M137">IF(SUM(Quantity!C138:N138)=0,"",SUM(Quantity!C138:N138))</f>
        <v/>
      </c>
      <c r="N137" s="25" t="str" cm="1">
        <f t="array" ref="N137">IF(SUM(CA!C138:N138)=0,"",SUM(CA!C138:N138))</f>
        <v/>
      </c>
    </row>
    <row r="138" spans="1:14" x14ac:dyDescent="0.25">
      <c r="A138" s="1"/>
      <c r="B138" s="22" cm="1">
        <f t="array" ref="B138">Quantity!B139</f>
        <v>0</v>
      </c>
      <c r="C138" s="23" cm="1">
        <f t="array" ref="C138">Quantity!O139</f>
        <v>0</v>
      </c>
      <c r="D138" s="24" cm="1">
        <f t="array" ref="D138">CA!O139</f>
        <v>0</v>
      </c>
      <c r="E138" s="23" cm="1">
        <f t="array" ref="E138">Quantity!C139</f>
        <v>0</v>
      </c>
      <c r="F138" s="25" cm="1">
        <f t="array" ref="F138">CA!C139</f>
        <v>0</v>
      </c>
      <c r="G138" s="26" cm="1">
        <f t="array" aca="1" ref="G138" ca="1">SUMIFS(Quantity!$C139:$AH139,Quantity!$C$7:$AH$7,H$6,Quantity!$C$8:$AH$8,TRUE)</f>
        <v>0</v>
      </c>
      <c r="H138" s="24" cm="1">
        <f t="array" aca="1" ref="H138" ca="1">SUMIFS(CA!$C139:$AQ139,CA!$C$7:$AQ$7,H$6,CA!$C$8:$AQ$8,TRUE)</f>
        <v>0</v>
      </c>
      <c r="I138" s="23" cm="1">
        <f t="array" aca="1" ref="I138" ca="1">SUMIFS(Quantity!$C139:$AH139,Quantity!$C$7:$AH$7,J$6,Quantity!$C$8:$AH$8,TRUE)</f>
        <v>0</v>
      </c>
      <c r="J138" s="25" cm="1">
        <f t="array" aca="1" ref="J138" ca="1">SUMIFS(CA!$C139:$AQ139,CA!$C$7:$AQ$7,J$6,CA!$C$8:$AQ$8,TRUE)</f>
        <v>0</v>
      </c>
      <c r="K138" s="26" t="str" cm="1">
        <f t="array" ref="K138">IF(SUM(Quantity!O139:Z139)=0,"",SUM(Quantity!O139:Z139))</f>
        <v/>
      </c>
      <c r="L138" s="24" t="str" cm="1">
        <f t="array" ref="L138">IF(SUM(CA!O139:Z139)=0,"",SUM(CA!O139:Z139))</f>
        <v/>
      </c>
      <c r="M138" s="23" t="str" cm="1">
        <f t="array" ref="M138">IF(SUM(Quantity!C139:N139)=0,"",SUM(Quantity!C139:N139))</f>
        <v/>
      </c>
      <c r="N138" s="25" t="str" cm="1">
        <f t="array" ref="N138">IF(SUM(CA!C139:N139)=0,"",SUM(CA!C139:N139))</f>
        <v/>
      </c>
    </row>
    <row r="139" spans="1:14" x14ac:dyDescent="0.25">
      <c r="A139" s="1"/>
      <c r="B139" s="22" cm="1">
        <f t="array" ref="B139">Quantity!B140</f>
        <v>0</v>
      </c>
      <c r="C139" s="23" cm="1">
        <f t="array" ref="C139">Quantity!O140</f>
        <v>0</v>
      </c>
      <c r="D139" s="24" cm="1">
        <f t="array" ref="D139">CA!O140</f>
        <v>0</v>
      </c>
      <c r="E139" s="23" cm="1">
        <f t="array" ref="E139">Quantity!C140</f>
        <v>0</v>
      </c>
      <c r="F139" s="25" cm="1">
        <f t="array" ref="F139">CA!C140</f>
        <v>0</v>
      </c>
      <c r="G139" s="26" cm="1">
        <f t="array" aca="1" ref="G139" ca="1">SUMIFS(Quantity!$C140:$AH140,Quantity!$C$7:$AH$7,H$6,Quantity!$C$8:$AH$8,TRUE)</f>
        <v>0</v>
      </c>
      <c r="H139" s="24" cm="1">
        <f t="array" aca="1" ref="H139" ca="1">SUMIFS(CA!$C140:$AQ140,CA!$C$7:$AQ$7,H$6,CA!$C$8:$AQ$8,TRUE)</f>
        <v>0</v>
      </c>
      <c r="I139" s="23" cm="1">
        <f t="array" aca="1" ref="I139" ca="1">SUMIFS(Quantity!$C140:$AH140,Quantity!$C$7:$AH$7,J$6,Quantity!$C$8:$AH$8,TRUE)</f>
        <v>0</v>
      </c>
      <c r="J139" s="25" cm="1">
        <f t="array" aca="1" ref="J139" ca="1">SUMIFS(CA!$C140:$AQ140,CA!$C$7:$AQ$7,J$6,CA!$C$8:$AQ$8,TRUE)</f>
        <v>0</v>
      </c>
      <c r="K139" s="26" t="str" cm="1">
        <f t="array" ref="K139">IF(SUM(Quantity!O140:Z140)=0,"",SUM(Quantity!O140:Z140))</f>
        <v/>
      </c>
      <c r="L139" s="24" t="str" cm="1">
        <f t="array" ref="L139">IF(SUM(CA!O140:Z140)=0,"",SUM(CA!O140:Z140))</f>
        <v/>
      </c>
      <c r="M139" s="23" t="str" cm="1">
        <f t="array" ref="M139">IF(SUM(Quantity!C140:N140)=0,"",SUM(Quantity!C140:N140))</f>
        <v/>
      </c>
      <c r="N139" s="25" t="str" cm="1">
        <f t="array" ref="N139">IF(SUM(CA!C140:N140)=0,"",SUM(CA!C140:N140))</f>
        <v/>
      </c>
    </row>
    <row r="140" spans="1:14" x14ac:dyDescent="0.25">
      <c r="A140" s="1"/>
      <c r="B140" s="22" cm="1">
        <f t="array" ref="B140">Quantity!B141</f>
        <v>0</v>
      </c>
      <c r="C140" s="23" cm="1">
        <f t="array" ref="C140">Quantity!O141</f>
        <v>0</v>
      </c>
      <c r="D140" s="24" cm="1">
        <f t="array" ref="D140">CA!O141</f>
        <v>0</v>
      </c>
      <c r="E140" s="23" cm="1">
        <f t="array" ref="E140">Quantity!C141</f>
        <v>0</v>
      </c>
      <c r="F140" s="25" cm="1">
        <f t="array" ref="F140">CA!C141</f>
        <v>0</v>
      </c>
      <c r="G140" s="26" cm="1">
        <f t="array" aca="1" ref="G140" ca="1">SUMIFS(Quantity!$C141:$AH141,Quantity!$C$7:$AH$7,H$6,Quantity!$C$8:$AH$8,TRUE)</f>
        <v>0</v>
      </c>
      <c r="H140" s="24" cm="1">
        <f t="array" aca="1" ref="H140" ca="1">SUMIFS(CA!$C141:$AQ141,CA!$C$7:$AQ$7,H$6,CA!$C$8:$AQ$8,TRUE)</f>
        <v>0</v>
      </c>
      <c r="I140" s="23" cm="1">
        <f t="array" aca="1" ref="I140" ca="1">SUMIFS(Quantity!$C141:$AH141,Quantity!$C$7:$AH$7,J$6,Quantity!$C$8:$AH$8,TRUE)</f>
        <v>0</v>
      </c>
      <c r="J140" s="25" cm="1">
        <f t="array" aca="1" ref="J140" ca="1">SUMIFS(CA!$C141:$AQ141,CA!$C$7:$AQ$7,J$6,CA!$C$8:$AQ$8,TRUE)</f>
        <v>0</v>
      </c>
      <c r="K140" s="26" t="str" cm="1">
        <f t="array" ref="K140">IF(SUM(Quantity!O141:Z141)=0,"",SUM(Quantity!O141:Z141))</f>
        <v/>
      </c>
      <c r="L140" s="24" t="str" cm="1">
        <f t="array" ref="L140">IF(SUM(CA!O141:Z141)=0,"",SUM(CA!O141:Z141))</f>
        <v/>
      </c>
      <c r="M140" s="23" t="str" cm="1">
        <f t="array" ref="M140">IF(SUM(Quantity!C141:N141)=0,"",SUM(Quantity!C141:N141))</f>
        <v/>
      </c>
      <c r="N140" s="25" t="str" cm="1">
        <f t="array" ref="N140">IF(SUM(CA!C141:N141)=0,"",SUM(CA!C141:N141))</f>
        <v/>
      </c>
    </row>
    <row r="141" spans="1:14" x14ac:dyDescent="0.25">
      <c r="A141" s="1"/>
      <c r="B141" s="22" cm="1">
        <f t="array" ref="B141">Quantity!B142</f>
        <v>0</v>
      </c>
      <c r="C141" s="23" cm="1">
        <f t="array" ref="C141">Quantity!O142</f>
        <v>0</v>
      </c>
      <c r="D141" s="24" cm="1">
        <f t="array" ref="D141">CA!O142</f>
        <v>0</v>
      </c>
      <c r="E141" s="23" cm="1">
        <f t="array" ref="E141">Quantity!C142</f>
        <v>0</v>
      </c>
      <c r="F141" s="25" cm="1">
        <f t="array" ref="F141">CA!C142</f>
        <v>0</v>
      </c>
      <c r="G141" s="26" cm="1">
        <f t="array" aca="1" ref="G141" ca="1">SUMIFS(Quantity!$C142:$AH142,Quantity!$C$7:$AH$7,H$6,Quantity!$C$8:$AH$8,TRUE)</f>
        <v>0</v>
      </c>
      <c r="H141" s="24" cm="1">
        <f t="array" aca="1" ref="H141" ca="1">SUMIFS(CA!$C142:$AQ142,CA!$C$7:$AQ$7,H$6,CA!$C$8:$AQ$8,TRUE)</f>
        <v>0</v>
      </c>
      <c r="I141" s="23" cm="1">
        <f t="array" aca="1" ref="I141" ca="1">SUMIFS(Quantity!$C142:$AH142,Quantity!$C$7:$AH$7,J$6,Quantity!$C$8:$AH$8,TRUE)</f>
        <v>0</v>
      </c>
      <c r="J141" s="25" cm="1">
        <f t="array" aca="1" ref="J141" ca="1">SUMIFS(CA!$C142:$AQ142,CA!$C$7:$AQ$7,J$6,CA!$C$8:$AQ$8,TRUE)</f>
        <v>0</v>
      </c>
      <c r="K141" s="26" t="str" cm="1">
        <f t="array" ref="K141">IF(SUM(Quantity!O142:Z142)=0,"",SUM(Quantity!O142:Z142))</f>
        <v/>
      </c>
      <c r="L141" s="24" t="str" cm="1">
        <f t="array" ref="L141">IF(SUM(CA!O142:Z142)=0,"",SUM(CA!O142:Z142))</f>
        <v/>
      </c>
      <c r="M141" s="23" t="str" cm="1">
        <f t="array" ref="M141">IF(SUM(Quantity!C142:N142)=0,"",SUM(Quantity!C142:N142))</f>
        <v/>
      </c>
      <c r="N141" s="25" t="str" cm="1">
        <f t="array" ref="N141">IF(SUM(CA!C142:N142)=0,"",SUM(CA!C142:N142))</f>
        <v/>
      </c>
    </row>
    <row r="142" spans="1:14" x14ac:dyDescent="0.25">
      <c r="A142" s="1"/>
      <c r="B142" s="22" cm="1">
        <f t="array" ref="B142">Quantity!B143</f>
        <v>0</v>
      </c>
      <c r="C142" s="23" cm="1">
        <f t="array" ref="C142">Quantity!O143</f>
        <v>0</v>
      </c>
      <c r="D142" s="24" cm="1">
        <f t="array" ref="D142">CA!O143</f>
        <v>0</v>
      </c>
      <c r="E142" s="23" cm="1">
        <f t="array" ref="E142">Quantity!C143</f>
        <v>0</v>
      </c>
      <c r="F142" s="25" cm="1">
        <f t="array" ref="F142">CA!C143</f>
        <v>0</v>
      </c>
      <c r="G142" s="26" cm="1">
        <f t="array" aca="1" ref="G142" ca="1">SUMIFS(Quantity!$C143:$AH143,Quantity!$C$7:$AH$7,H$6,Quantity!$C$8:$AH$8,TRUE)</f>
        <v>0</v>
      </c>
      <c r="H142" s="24" cm="1">
        <f t="array" aca="1" ref="H142" ca="1">SUMIFS(CA!$C143:$AQ143,CA!$C$7:$AQ$7,H$6,CA!$C$8:$AQ$8,TRUE)</f>
        <v>0</v>
      </c>
      <c r="I142" s="23" cm="1">
        <f t="array" aca="1" ref="I142" ca="1">SUMIFS(Quantity!$C143:$AH143,Quantity!$C$7:$AH$7,J$6,Quantity!$C$8:$AH$8,TRUE)</f>
        <v>0</v>
      </c>
      <c r="J142" s="25" cm="1">
        <f t="array" aca="1" ref="J142" ca="1">SUMIFS(CA!$C143:$AQ143,CA!$C$7:$AQ$7,J$6,CA!$C$8:$AQ$8,TRUE)</f>
        <v>0</v>
      </c>
      <c r="K142" s="26" t="str" cm="1">
        <f t="array" ref="K142">IF(SUM(Quantity!O143:Z143)=0,"",SUM(Quantity!O143:Z143))</f>
        <v/>
      </c>
      <c r="L142" s="24" t="str" cm="1">
        <f t="array" ref="L142">IF(SUM(CA!O143:Z143)=0,"",SUM(CA!O143:Z143))</f>
        <v/>
      </c>
      <c r="M142" s="23" t="str" cm="1">
        <f t="array" ref="M142">IF(SUM(Quantity!C143:N143)=0,"",SUM(Quantity!C143:N143))</f>
        <v/>
      </c>
      <c r="N142" s="25" t="str" cm="1">
        <f t="array" ref="N142">IF(SUM(CA!C143:N143)=0,"",SUM(CA!C143:N143))</f>
        <v/>
      </c>
    </row>
    <row r="143" spans="1:14" x14ac:dyDescent="0.25">
      <c r="A143" s="1"/>
      <c r="B143" s="22" cm="1">
        <f t="array" ref="B143">Quantity!B144</f>
        <v>0</v>
      </c>
      <c r="C143" s="23" cm="1">
        <f t="array" ref="C143">Quantity!O144</f>
        <v>0</v>
      </c>
      <c r="D143" s="24" cm="1">
        <f t="array" ref="D143">CA!O144</f>
        <v>0</v>
      </c>
      <c r="E143" s="23" cm="1">
        <f t="array" ref="E143">Quantity!C144</f>
        <v>0</v>
      </c>
      <c r="F143" s="25" cm="1">
        <f t="array" ref="F143">CA!C144</f>
        <v>0</v>
      </c>
      <c r="G143" s="26" cm="1">
        <f t="array" aca="1" ref="G143" ca="1">SUMIFS(Quantity!$C144:$AH144,Quantity!$C$7:$AH$7,H$6,Quantity!$C$8:$AH$8,TRUE)</f>
        <v>0</v>
      </c>
      <c r="H143" s="24" cm="1">
        <f t="array" aca="1" ref="H143" ca="1">SUMIFS(CA!$C144:$AQ144,CA!$C$7:$AQ$7,H$6,CA!$C$8:$AQ$8,TRUE)</f>
        <v>0</v>
      </c>
      <c r="I143" s="23" cm="1">
        <f t="array" aca="1" ref="I143" ca="1">SUMIFS(Quantity!$C144:$AH144,Quantity!$C$7:$AH$7,J$6,Quantity!$C$8:$AH$8,TRUE)</f>
        <v>0</v>
      </c>
      <c r="J143" s="25" cm="1">
        <f t="array" aca="1" ref="J143" ca="1">SUMIFS(CA!$C144:$AQ144,CA!$C$7:$AQ$7,J$6,CA!$C$8:$AQ$8,TRUE)</f>
        <v>0</v>
      </c>
      <c r="K143" s="26" t="str" cm="1">
        <f t="array" ref="K143">IF(SUM(Quantity!O144:Z144)=0,"",SUM(Quantity!O144:Z144))</f>
        <v/>
      </c>
      <c r="L143" s="24" t="str" cm="1">
        <f t="array" ref="L143">IF(SUM(CA!O144:Z144)=0,"",SUM(CA!O144:Z144))</f>
        <v/>
      </c>
      <c r="M143" s="23" t="str" cm="1">
        <f t="array" ref="M143">IF(SUM(Quantity!C144:N144)=0,"",SUM(Quantity!C144:N144))</f>
        <v/>
      </c>
      <c r="N143" s="25" t="str" cm="1">
        <f t="array" ref="N143">IF(SUM(CA!C144:N144)=0,"",SUM(CA!C144:N144))</f>
        <v/>
      </c>
    </row>
    <row r="144" spans="1:14" x14ac:dyDescent="0.25">
      <c r="A144" s="1"/>
      <c r="B144" s="22" cm="1">
        <f t="array" ref="B144">Quantity!B145</f>
        <v>0</v>
      </c>
      <c r="C144" s="23" cm="1">
        <f t="array" ref="C144">Quantity!O145</f>
        <v>0</v>
      </c>
      <c r="D144" s="24" cm="1">
        <f t="array" ref="D144">CA!O145</f>
        <v>0</v>
      </c>
      <c r="E144" s="23" cm="1">
        <f t="array" ref="E144">Quantity!C145</f>
        <v>0</v>
      </c>
      <c r="F144" s="25" cm="1">
        <f t="array" ref="F144">CA!C145</f>
        <v>0</v>
      </c>
      <c r="G144" s="26" cm="1">
        <f t="array" aca="1" ref="G144" ca="1">SUMIFS(Quantity!$C145:$AH145,Quantity!$C$7:$AH$7,H$6,Quantity!$C$8:$AH$8,TRUE)</f>
        <v>0</v>
      </c>
      <c r="H144" s="24" cm="1">
        <f t="array" aca="1" ref="H144" ca="1">SUMIFS(CA!$C145:$AQ145,CA!$C$7:$AQ$7,H$6,CA!$C$8:$AQ$8,TRUE)</f>
        <v>0</v>
      </c>
      <c r="I144" s="23" cm="1">
        <f t="array" aca="1" ref="I144" ca="1">SUMIFS(Quantity!$C145:$AH145,Quantity!$C$7:$AH$7,J$6,Quantity!$C$8:$AH$8,TRUE)</f>
        <v>0</v>
      </c>
      <c r="J144" s="25" cm="1">
        <f t="array" aca="1" ref="J144" ca="1">SUMIFS(CA!$C145:$AQ145,CA!$C$7:$AQ$7,J$6,CA!$C$8:$AQ$8,TRUE)</f>
        <v>0</v>
      </c>
      <c r="K144" s="26" t="str" cm="1">
        <f t="array" ref="K144">IF(SUM(Quantity!O145:Z145)=0,"",SUM(Quantity!O145:Z145))</f>
        <v/>
      </c>
      <c r="L144" s="24" t="str" cm="1">
        <f t="array" ref="L144">IF(SUM(CA!O145:Z145)=0,"",SUM(CA!O145:Z145))</f>
        <v/>
      </c>
      <c r="M144" s="23" t="str" cm="1">
        <f t="array" ref="M144">IF(SUM(Quantity!C145:N145)=0,"",SUM(Quantity!C145:N145))</f>
        <v/>
      </c>
      <c r="N144" s="25" t="str" cm="1">
        <f t="array" ref="N144">IF(SUM(CA!C145:N145)=0,"",SUM(CA!C145:N145))</f>
        <v/>
      </c>
    </row>
    <row r="145" spans="1:14" x14ac:dyDescent="0.25">
      <c r="A145" s="1"/>
      <c r="B145" s="22" cm="1">
        <f t="array" ref="B145">Quantity!B146</f>
        <v>0</v>
      </c>
      <c r="C145" s="23" cm="1">
        <f t="array" ref="C145">Quantity!O146</f>
        <v>0</v>
      </c>
      <c r="D145" s="24" cm="1">
        <f t="array" ref="D145">CA!O146</f>
        <v>0</v>
      </c>
      <c r="E145" s="23" cm="1">
        <f t="array" ref="E145">Quantity!C146</f>
        <v>0</v>
      </c>
      <c r="F145" s="25" cm="1">
        <f t="array" ref="F145">CA!C146</f>
        <v>0</v>
      </c>
      <c r="G145" s="26" cm="1">
        <f t="array" aca="1" ref="G145" ca="1">SUMIFS(Quantity!$C146:$AH146,Quantity!$C$7:$AH$7,H$6,Quantity!$C$8:$AH$8,TRUE)</f>
        <v>0</v>
      </c>
      <c r="H145" s="24" cm="1">
        <f t="array" aca="1" ref="H145" ca="1">SUMIFS(CA!$C146:$AQ146,CA!$C$7:$AQ$7,H$6,CA!$C$8:$AQ$8,TRUE)</f>
        <v>0</v>
      </c>
      <c r="I145" s="23" cm="1">
        <f t="array" aca="1" ref="I145" ca="1">SUMIFS(Quantity!$C146:$AH146,Quantity!$C$7:$AH$7,J$6,Quantity!$C$8:$AH$8,TRUE)</f>
        <v>0</v>
      </c>
      <c r="J145" s="25" cm="1">
        <f t="array" aca="1" ref="J145" ca="1">SUMIFS(CA!$C146:$AQ146,CA!$C$7:$AQ$7,J$6,CA!$C$8:$AQ$8,TRUE)</f>
        <v>0</v>
      </c>
      <c r="K145" s="26" t="str" cm="1">
        <f t="array" ref="K145">IF(SUM(Quantity!O146:Z146)=0,"",SUM(Quantity!O146:Z146))</f>
        <v/>
      </c>
      <c r="L145" s="24" t="str" cm="1">
        <f t="array" ref="L145">IF(SUM(CA!O146:Z146)=0,"",SUM(CA!O146:Z146))</f>
        <v/>
      </c>
      <c r="M145" s="23" t="str" cm="1">
        <f t="array" ref="M145">IF(SUM(Quantity!C146:N146)=0,"",SUM(Quantity!C146:N146))</f>
        <v/>
      </c>
      <c r="N145" s="25" t="str" cm="1">
        <f t="array" ref="N145">IF(SUM(CA!C146:N146)=0,"",SUM(CA!C146:N146))</f>
        <v/>
      </c>
    </row>
    <row r="146" spans="1:14" x14ac:dyDescent="0.25">
      <c r="A146" s="1"/>
      <c r="B146" s="22" cm="1">
        <f t="array" ref="B146">Quantity!B147</f>
        <v>0</v>
      </c>
      <c r="C146" s="23" cm="1">
        <f t="array" ref="C146">Quantity!O147</f>
        <v>0</v>
      </c>
      <c r="D146" s="24" cm="1">
        <f t="array" ref="D146">CA!O147</f>
        <v>0</v>
      </c>
      <c r="E146" s="23" cm="1">
        <f t="array" ref="E146">Quantity!C147</f>
        <v>0</v>
      </c>
      <c r="F146" s="25" cm="1">
        <f t="array" ref="F146">CA!C147</f>
        <v>0</v>
      </c>
      <c r="G146" s="26" cm="1">
        <f t="array" aca="1" ref="G146" ca="1">SUMIFS(Quantity!$C147:$AH147,Quantity!$C$7:$AH$7,H$6,Quantity!$C$8:$AH$8,TRUE)</f>
        <v>0</v>
      </c>
      <c r="H146" s="24" cm="1">
        <f t="array" aca="1" ref="H146" ca="1">SUMIFS(CA!$C147:$AQ147,CA!$C$7:$AQ$7,H$6,CA!$C$8:$AQ$8,TRUE)</f>
        <v>0</v>
      </c>
      <c r="I146" s="23" cm="1">
        <f t="array" aca="1" ref="I146" ca="1">SUMIFS(Quantity!$C147:$AH147,Quantity!$C$7:$AH$7,J$6,Quantity!$C$8:$AH$8,TRUE)</f>
        <v>0</v>
      </c>
      <c r="J146" s="25" cm="1">
        <f t="array" aca="1" ref="J146" ca="1">SUMIFS(CA!$C147:$AQ147,CA!$C$7:$AQ$7,J$6,CA!$C$8:$AQ$8,TRUE)</f>
        <v>0</v>
      </c>
      <c r="K146" s="26" t="str" cm="1">
        <f t="array" ref="K146">IF(SUM(Quantity!O147:Z147)=0,"",SUM(Quantity!O147:Z147))</f>
        <v/>
      </c>
      <c r="L146" s="24" t="str" cm="1">
        <f t="array" ref="L146">IF(SUM(CA!O147:Z147)=0,"",SUM(CA!O147:Z147))</f>
        <v/>
      </c>
      <c r="M146" s="23" t="str" cm="1">
        <f t="array" ref="M146">IF(SUM(Quantity!C147:N147)=0,"",SUM(Quantity!C147:N147))</f>
        <v/>
      </c>
      <c r="N146" s="25" t="str" cm="1">
        <f t="array" ref="N146">IF(SUM(CA!C147:N147)=0,"",SUM(CA!C147:N147))</f>
        <v/>
      </c>
    </row>
    <row r="147" spans="1:14" x14ac:dyDescent="0.25">
      <c r="A147" s="1"/>
      <c r="B147" s="22" cm="1">
        <f t="array" ref="B147">Quantity!B148</f>
        <v>0</v>
      </c>
      <c r="C147" s="23" cm="1">
        <f t="array" ref="C147">Quantity!O148</f>
        <v>0</v>
      </c>
      <c r="D147" s="24" cm="1">
        <f t="array" ref="D147">CA!O148</f>
        <v>0</v>
      </c>
      <c r="E147" s="23" cm="1">
        <f t="array" ref="E147">Quantity!C148</f>
        <v>0</v>
      </c>
      <c r="F147" s="25" cm="1">
        <f t="array" ref="F147">CA!C148</f>
        <v>0</v>
      </c>
      <c r="G147" s="26" cm="1">
        <f t="array" aca="1" ref="G147" ca="1">SUMIFS(Quantity!$C148:$AH148,Quantity!$C$7:$AH$7,H$6,Quantity!$C$8:$AH$8,TRUE)</f>
        <v>0</v>
      </c>
      <c r="H147" s="24" cm="1">
        <f t="array" aca="1" ref="H147" ca="1">SUMIFS(CA!$C148:$AQ148,CA!$C$7:$AQ$7,H$6,CA!$C$8:$AQ$8,TRUE)</f>
        <v>0</v>
      </c>
      <c r="I147" s="23" cm="1">
        <f t="array" aca="1" ref="I147" ca="1">SUMIFS(Quantity!$C148:$AH148,Quantity!$C$7:$AH$7,J$6,Quantity!$C$8:$AH$8,TRUE)</f>
        <v>0</v>
      </c>
      <c r="J147" s="25" cm="1">
        <f t="array" aca="1" ref="J147" ca="1">SUMIFS(CA!$C148:$AQ148,CA!$C$7:$AQ$7,J$6,CA!$C$8:$AQ$8,TRUE)</f>
        <v>0</v>
      </c>
      <c r="K147" s="26" t="str" cm="1">
        <f t="array" ref="K147">IF(SUM(Quantity!O148:Z148)=0,"",SUM(Quantity!O148:Z148))</f>
        <v/>
      </c>
      <c r="L147" s="24" t="str" cm="1">
        <f t="array" ref="L147">IF(SUM(CA!O148:Z148)=0,"",SUM(CA!O148:Z148))</f>
        <v/>
      </c>
      <c r="M147" s="23" t="str" cm="1">
        <f t="array" ref="M147">IF(SUM(Quantity!C148:N148)=0,"",SUM(Quantity!C148:N148))</f>
        <v/>
      </c>
      <c r="N147" s="25" t="str" cm="1">
        <f t="array" ref="N147">IF(SUM(CA!C148:N148)=0,"",SUM(CA!C148:N148))</f>
        <v/>
      </c>
    </row>
    <row r="148" spans="1:14" x14ac:dyDescent="0.25">
      <c r="A148" s="1"/>
      <c r="B148" s="22" cm="1">
        <f t="array" ref="B148">Quantity!B149</f>
        <v>0</v>
      </c>
      <c r="C148" s="23" cm="1">
        <f t="array" ref="C148">Quantity!O149</f>
        <v>0</v>
      </c>
      <c r="D148" s="24" cm="1">
        <f t="array" ref="D148">CA!O149</f>
        <v>0</v>
      </c>
      <c r="E148" s="23" cm="1">
        <f t="array" ref="E148">Quantity!C149</f>
        <v>0</v>
      </c>
      <c r="F148" s="25" cm="1">
        <f t="array" ref="F148">CA!C149</f>
        <v>0</v>
      </c>
      <c r="G148" s="26" cm="1">
        <f t="array" aca="1" ref="G148" ca="1">SUMIFS(Quantity!$C149:$AH149,Quantity!$C$7:$AH$7,H$6,Quantity!$C$8:$AH$8,TRUE)</f>
        <v>0</v>
      </c>
      <c r="H148" s="24" cm="1">
        <f t="array" aca="1" ref="H148" ca="1">SUMIFS(CA!$C149:$AQ149,CA!$C$7:$AQ$7,H$6,CA!$C$8:$AQ$8,TRUE)</f>
        <v>0</v>
      </c>
      <c r="I148" s="23" cm="1">
        <f t="array" aca="1" ref="I148" ca="1">SUMIFS(Quantity!$C149:$AH149,Quantity!$C$7:$AH$7,J$6,Quantity!$C$8:$AH$8,TRUE)</f>
        <v>0</v>
      </c>
      <c r="J148" s="25" cm="1">
        <f t="array" aca="1" ref="J148" ca="1">SUMIFS(CA!$C149:$AQ149,CA!$C$7:$AQ$7,J$6,CA!$C$8:$AQ$8,TRUE)</f>
        <v>0</v>
      </c>
      <c r="K148" s="26" t="str" cm="1">
        <f t="array" ref="K148">IF(SUM(Quantity!O149:Z149)=0,"",SUM(Quantity!O149:Z149))</f>
        <v/>
      </c>
      <c r="L148" s="24" t="str" cm="1">
        <f t="array" ref="L148">IF(SUM(CA!O149:Z149)=0,"",SUM(CA!O149:Z149))</f>
        <v/>
      </c>
      <c r="M148" s="23" t="str" cm="1">
        <f t="array" ref="M148">IF(SUM(Quantity!C149:N149)=0,"",SUM(Quantity!C149:N149))</f>
        <v/>
      </c>
      <c r="N148" s="25" t="str" cm="1">
        <f t="array" ref="N148">IF(SUM(CA!C149:N149)=0,"",SUM(CA!C149:N149))</f>
        <v/>
      </c>
    </row>
    <row r="149" spans="1:14" x14ac:dyDescent="0.25">
      <c r="A149" s="1"/>
      <c r="B149" s="22" cm="1">
        <f t="array" ref="B149">Quantity!B150</f>
        <v>0</v>
      </c>
      <c r="C149" s="23" cm="1">
        <f t="array" ref="C149">Quantity!O150</f>
        <v>0</v>
      </c>
      <c r="D149" s="24" cm="1">
        <f t="array" ref="D149">CA!O150</f>
        <v>0</v>
      </c>
      <c r="E149" s="23" cm="1">
        <f t="array" ref="E149">Quantity!C150</f>
        <v>0</v>
      </c>
      <c r="F149" s="25" cm="1">
        <f t="array" ref="F149">CA!C150</f>
        <v>0</v>
      </c>
      <c r="G149" s="26" cm="1">
        <f t="array" aca="1" ref="G149" ca="1">SUMIFS(Quantity!$C150:$AH150,Quantity!$C$7:$AH$7,H$6,Quantity!$C$8:$AH$8,TRUE)</f>
        <v>0</v>
      </c>
      <c r="H149" s="24" cm="1">
        <f t="array" aca="1" ref="H149" ca="1">SUMIFS(CA!$C150:$AQ150,CA!$C$7:$AQ$7,H$6,CA!$C$8:$AQ$8,TRUE)</f>
        <v>0</v>
      </c>
      <c r="I149" s="23" cm="1">
        <f t="array" aca="1" ref="I149" ca="1">SUMIFS(Quantity!$C150:$AH150,Quantity!$C$7:$AH$7,J$6,Quantity!$C$8:$AH$8,TRUE)</f>
        <v>0</v>
      </c>
      <c r="J149" s="25" cm="1">
        <f t="array" aca="1" ref="J149" ca="1">SUMIFS(CA!$C150:$AQ150,CA!$C$7:$AQ$7,J$6,CA!$C$8:$AQ$8,TRUE)</f>
        <v>0</v>
      </c>
      <c r="K149" s="26" t="str" cm="1">
        <f t="array" ref="K149">IF(SUM(Quantity!O150:Z150)=0,"",SUM(Quantity!O150:Z150))</f>
        <v/>
      </c>
      <c r="L149" s="24" t="str" cm="1">
        <f t="array" ref="L149">IF(SUM(CA!O150:Z150)=0,"",SUM(CA!O150:Z150))</f>
        <v/>
      </c>
      <c r="M149" s="23" t="str" cm="1">
        <f t="array" ref="M149">IF(SUM(Quantity!C150:N150)=0,"",SUM(Quantity!C150:N150))</f>
        <v/>
      </c>
      <c r="N149" s="25" t="str" cm="1">
        <f t="array" ref="N149">IF(SUM(CA!C150:N150)=0,"",SUM(CA!C150:N150))</f>
        <v/>
      </c>
    </row>
    <row r="150" spans="1:14" x14ac:dyDescent="0.25">
      <c r="A150" s="1"/>
      <c r="B150" s="22" cm="1">
        <f t="array" ref="B150">Quantity!B151</f>
        <v>0</v>
      </c>
      <c r="C150" s="23" cm="1">
        <f t="array" ref="C150">Quantity!O151</f>
        <v>0</v>
      </c>
      <c r="D150" s="24" cm="1">
        <f t="array" ref="D150">CA!O151</f>
        <v>0</v>
      </c>
      <c r="E150" s="23" cm="1">
        <f t="array" ref="E150">Quantity!C151</f>
        <v>0</v>
      </c>
      <c r="F150" s="25" cm="1">
        <f t="array" ref="F150">CA!C151</f>
        <v>0</v>
      </c>
      <c r="G150" s="26" cm="1">
        <f t="array" aca="1" ref="G150" ca="1">SUMIFS(Quantity!$C151:$AH151,Quantity!$C$7:$AH$7,H$6,Quantity!$C$8:$AH$8,TRUE)</f>
        <v>0</v>
      </c>
      <c r="H150" s="24" cm="1">
        <f t="array" aca="1" ref="H150" ca="1">SUMIFS(CA!$C151:$AQ151,CA!$C$7:$AQ$7,H$6,CA!$C$8:$AQ$8,TRUE)</f>
        <v>0</v>
      </c>
      <c r="I150" s="23" cm="1">
        <f t="array" aca="1" ref="I150" ca="1">SUMIFS(Quantity!$C151:$AH151,Quantity!$C$7:$AH$7,J$6,Quantity!$C$8:$AH$8,TRUE)</f>
        <v>0</v>
      </c>
      <c r="J150" s="25" cm="1">
        <f t="array" aca="1" ref="J150" ca="1">SUMIFS(CA!$C151:$AQ151,CA!$C$7:$AQ$7,J$6,CA!$C$8:$AQ$8,TRUE)</f>
        <v>0</v>
      </c>
      <c r="K150" s="26" t="str" cm="1">
        <f t="array" ref="K150">IF(SUM(Quantity!O151:Z151)=0,"",SUM(Quantity!O151:Z151))</f>
        <v/>
      </c>
      <c r="L150" s="24" t="str" cm="1">
        <f t="array" ref="L150">IF(SUM(CA!O151:Z151)=0,"",SUM(CA!O151:Z151))</f>
        <v/>
      </c>
      <c r="M150" s="23" t="str" cm="1">
        <f t="array" ref="M150">IF(SUM(Quantity!C151:N151)=0,"",SUM(Quantity!C151:N151))</f>
        <v/>
      </c>
      <c r="N150" s="25" t="str" cm="1">
        <f t="array" ref="N150">IF(SUM(CA!C151:N151)=0,"",SUM(CA!C151:N151))</f>
        <v/>
      </c>
    </row>
    <row r="151" spans="1:14" x14ac:dyDescent="0.25">
      <c r="A151" s="1"/>
      <c r="B151" s="22" cm="1">
        <f t="array" ref="B151">Quantity!B152</f>
        <v>0</v>
      </c>
      <c r="C151" s="23" cm="1">
        <f t="array" ref="C151">Quantity!O152</f>
        <v>0</v>
      </c>
      <c r="D151" s="24" cm="1">
        <f t="array" ref="D151">CA!O152</f>
        <v>0</v>
      </c>
      <c r="E151" s="23" cm="1">
        <f t="array" ref="E151">Quantity!C152</f>
        <v>0</v>
      </c>
      <c r="F151" s="25" cm="1">
        <f t="array" ref="F151">CA!C152</f>
        <v>0</v>
      </c>
      <c r="G151" s="26" cm="1">
        <f t="array" aca="1" ref="G151" ca="1">SUMIFS(Quantity!$C152:$AH152,Quantity!$C$7:$AH$7,H$6,Quantity!$C$8:$AH$8,TRUE)</f>
        <v>0</v>
      </c>
      <c r="H151" s="24" cm="1">
        <f t="array" aca="1" ref="H151" ca="1">SUMIFS(CA!$C152:$AQ152,CA!$C$7:$AQ$7,H$6,CA!$C$8:$AQ$8,TRUE)</f>
        <v>0</v>
      </c>
      <c r="I151" s="23" cm="1">
        <f t="array" aca="1" ref="I151" ca="1">SUMIFS(Quantity!$C152:$AH152,Quantity!$C$7:$AH$7,J$6,Quantity!$C$8:$AH$8,TRUE)</f>
        <v>0</v>
      </c>
      <c r="J151" s="25" cm="1">
        <f t="array" aca="1" ref="J151" ca="1">SUMIFS(CA!$C152:$AQ152,CA!$C$7:$AQ$7,J$6,CA!$C$8:$AQ$8,TRUE)</f>
        <v>0</v>
      </c>
      <c r="K151" s="26" t="str" cm="1">
        <f t="array" ref="K151">IF(SUM(Quantity!O152:Z152)=0,"",SUM(Quantity!O152:Z152))</f>
        <v/>
      </c>
      <c r="L151" s="24" t="str" cm="1">
        <f t="array" ref="L151">IF(SUM(CA!O152:Z152)=0,"",SUM(CA!O152:Z152))</f>
        <v/>
      </c>
      <c r="M151" s="23" t="str" cm="1">
        <f t="array" ref="M151">IF(SUM(Quantity!C152:N152)=0,"",SUM(Quantity!C152:N152))</f>
        <v/>
      </c>
      <c r="N151" s="25" t="str" cm="1">
        <f t="array" ref="N151">IF(SUM(CA!C152:N152)=0,"",SUM(CA!C152:N152))</f>
        <v/>
      </c>
    </row>
    <row r="152" spans="1:14" x14ac:dyDescent="0.25">
      <c r="A152" s="1"/>
      <c r="B152" s="22" cm="1">
        <f t="array" ref="B152">Quantity!B153</f>
        <v>0</v>
      </c>
      <c r="C152" s="23" cm="1">
        <f t="array" ref="C152">Quantity!O153</f>
        <v>0</v>
      </c>
      <c r="D152" s="24" cm="1">
        <f t="array" ref="D152">CA!O153</f>
        <v>0</v>
      </c>
      <c r="E152" s="23" cm="1">
        <f t="array" ref="E152">Quantity!C153</f>
        <v>0</v>
      </c>
      <c r="F152" s="25" cm="1">
        <f t="array" ref="F152">CA!C153</f>
        <v>0</v>
      </c>
      <c r="G152" s="26" cm="1">
        <f t="array" aca="1" ref="G152" ca="1">SUMIFS(Quantity!$C153:$AH153,Quantity!$C$7:$AH$7,H$6,Quantity!$C$8:$AH$8,TRUE)</f>
        <v>0</v>
      </c>
      <c r="H152" s="24" cm="1">
        <f t="array" aca="1" ref="H152" ca="1">SUMIFS(CA!$C153:$AQ153,CA!$C$7:$AQ$7,H$6,CA!$C$8:$AQ$8,TRUE)</f>
        <v>0</v>
      </c>
      <c r="I152" s="23" cm="1">
        <f t="array" aca="1" ref="I152" ca="1">SUMIFS(Quantity!$C153:$AH153,Quantity!$C$7:$AH$7,J$6,Quantity!$C$8:$AH$8,TRUE)</f>
        <v>0</v>
      </c>
      <c r="J152" s="25" cm="1">
        <f t="array" aca="1" ref="J152" ca="1">SUMIFS(CA!$C153:$AQ153,CA!$C$7:$AQ$7,J$6,CA!$C$8:$AQ$8,TRUE)</f>
        <v>0</v>
      </c>
      <c r="K152" s="26" t="str" cm="1">
        <f t="array" ref="K152">IF(SUM(Quantity!O153:Z153)=0,"",SUM(Quantity!O153:Z153))</f>
        <v/>
      </c>
      <c r="L152" s="24" t="str" cm="1">
        <f t="array" ref="L152">IF(SUM(CA!O153:Z153)=0,"",SUM(CA!O153:Z153))</f>
        <v/>
      </c>
      <c r="M152" s="23" t="str" cm="1">
        <f t="array" ref="M152">IF(SUM(Quantity!C153:N153)=0,"",SUM(Quantity!C153:N153))</f>
        <v/>
      </c>
      <c r="N152" s="25" t="str" cm="1">
        <f t="array" ref="N152">IF(SUM(CA!C153:N153)=0,"",SUM(CA!C153:N153))</f>
        <v/>
      </c>
    </row>
    <row r="153" spans="1:14" x14ac:dyDescent="0.25">
      <c r="A153" s="1"/>
      <c r="B153" s="22" cm="1">
        <f t="array" ref="B153">Quantity!B154</f>
        <v>0</v>
      </c>
      <c r="C153" s="23" cm="1">
        <f t="array" ref="C153">Quantity!O154</f>
        <v>0</v>
      </c>
      <c r="D153" s="24" cm="1">
        <f t="array" ref="D153">CA!O154</f>
        <v>0</v>
      </c>
      <c r="E153" s="23" cm="1">
        <f t="array" ref="E153">Quantity!C154</f>
        <v>0</v>
      </c>
      <c r="F153" s="25" cm="1">
        <f t="array" ref="F153">CA!C154</f>
        <v>0</v>
      </c>
      <c r="G153" s="26" cm="1">
        <f t="array" aca="1" ref="G153" ca="1">SUMIFS(Quantity!$C154:$AH154,Quantity!$C$7:$AH$7,H$6,Quantity!$C$8:$AH$8,TRUE)</f>
        <v>0</v>
      </c>
      <c r="H153" s="24" cm="1">
        <f t="array" aca="1" ref="H153" ca="1">SUMIFS(CA!$C154:$AQ154,CA!$C$7:$AQ$7,H$6,CA!$C$8:$AQ$8,TRUE)</f>
        <v>0</v>
      </c>
      <c r="I153" s="23" cm="1">
        <f t="array" aca="1" ref="I153" ca="1">SUMIFS(Quantity!$C154:$AH154,Quantity!$C$7:$AH$7,J$6,Quantity!$C$8:$AH$8,TRUE)</f>
        <v>0</v>
      </c>
      <c r="J153" s="25" cm="1">
        <f t="array" aca="1" ref="J153" ca="1">SUMIFS(CA!$C154:$AQ154,CA!$C$7:$AQ$7,J$6,CA!$C$8:$AQ$8,TRUE)</f>
        <v>0</v>
      </c>
      <c r="K153" s="26" t="str" cm="1">
        <f t="array" ref="K153">IF(SUM(Quantity!O154:Z154)=0,"",SUM(Quantity!O154:Z154))</f>
        <v/>
      </c>
      <c r="L153" s="24" t="str" cm="1">
        <f t="array" ref="L153">IF(SUM(CA!O154:Z154)=0,"",SUM(CA!O154:Z154))</f>
        <v/>
      </c>
      <c r="M153" s="23" t="str" cm="1">
        <f t="array" ref="M153">IF(SUM(Quantity!C154:N154)=0,"",SUM(Quantity!C154:N154))</f>
        <v/>
      </c>
      <c r="N153" s="25" t="str" cm="1">
        <f t="array" ref="N153">IF(SUM(CA!C154:N154)=0,"",SUM(CA!C154:N154))</f>
        <v/>
      </c>
    </row>
    <row r="154" spans="1:14" x14ac:dyDescent="0.25">
      <c r="A154" s="1"/>
      <c r="B154" s="22" cm="1">
        <f t="array" ref="B154">Quantity!B155</f>
        <v>0</v>
      </c>
      <c r="C154" s="23" cm="1">
        <f t="array" ref="C154">Quantity!O155</f>
        <v>0</v>
      </c>
      <c r="D154" s="24" cm="1">
        <f t="array" ref="D154">CA!O155</f>
        <v>0</v>
      </c>
      <c r="E154" s="23" cm="1">
        <f t="array" ref="E154">Quantity!C155</f>
        <v>0</v>
      </c>
      <c r="F154" s="25" cm="1">
        <f t="array" ref="F154">CA!C155</f>
        <v>0</v>
      </c>
      <c r="G154" s="26" cm="1">
        <f t="array" aca="1" ref="G154" ca="1">SUMIFS(Quantity!$C155:$AH155,Quantity!$C$7:$AH$7,H$6,Quantity!$C$8:$AH$8,TRUE)</f>
        <v>0</v>
      </c>
      <c r="H154" s="24" cm="1">
        <f t="array" aca="1" ref="H154" ca="1">SUMIFS(CA!$C155:$AQ155,CA!$C$7:$AQ$7,H$6,CA!$C$8:$AQ$8,TRUE)</f>
        <v>0</v>
      </c>
      <c r="I154" s="23" cm="1">
        <f t="array" aca="1" ref="I154" ca="1">SUMIFS(Quantity!$C155:$AH155,Quantity!$C$7:$AH$7,J$6,Quantity!$C$8:$AH$8,TRUE)</f>
        <v>0</v>
      </c>
      <c r="J154" s="25" cm="1">
        <f t="array" aca="1" ref="J154" ca="1">SUMIFS(CA!$C155:$AQ155,CA!$C$7:$AQ$7,J$6,CA!$C$8:$AQ$8,TRUE)</f>
        <v>0</v>
      </c>
      <c r="K154" s="26" t="str" cm="1">
        <f t="array" ref="K154">IF(SUM(Quantity!O155:Z155)=0,"",SUM(Quantity!O155:Z155))</f>
        <v/>
      </c>
      <c r="L154" s="24" t="str" cm="1">
        <f t="array" ref="L154">IF(SUM(CA!O155:Z155)=0,"",SUM(CA!O155:Z155))</f>
        <v/>
      </c>
      <c r="M154" s="23" t="str" cm="1">
        <f t="array" ref="M154">IF(SUM(Quantity!C155:N155)=0,"",SUM(Quantity!C155:N155))</f>
        <v/>
      </c>
      <c r="N154" s="25" t="str" cm="1">
        <f t="array" ref="N154">IF(SUM(CA!C155:N155)=0,"",SUM(CA!C155:N155))</f>
        <v/>
      </c>
    </row>
    <row r="155" spans="1:14" x14ac:dyDescent="0.25">
      <c r="A155" s="1"/>
      <c r="B155" s="22" cm="1">
        <f t="array" ref="B155">Quantity!B156</f>
        <v>0</v>
      </c>
      <c r="C155" s="23" cm="1">
        <f t="array" ref="C155">Quantity!O156</f>
        <v>0</v>
      </c>
      <c r="D155" s="24" cm="1">
        <f t="array" ref="D155">CA!O156</f>
        <v>0</v>
      </c>
      <c r="E155" s="23" cm="1">
        <f t="array" ref="E155">Quantity!C156</f>
        <v>0</v>
      </c>
      <c r="F155" s="25" cm="1">
        <f t="array" ref="F155">CA!C156</f>
        <v>0</v>
      </c>
      <c r="G155" s="26" cm="1">
        <f t="array" aca="1" ref="G155" ca="1">SUMIFS(Quantity!$C156:$AH156,Quantity!$C$7:$AH$7,H$6,Quantity!$C$8:$AH$8,TRUE)</f>
        <v>0</v>
      </c>
      <c r="H155" s="24" cm="1">
        <f t="array" aca="1" ref="H155" ca="1">SUMIFS(CA!$C156:$AQ156,CA!$C$7:$AQ$7,H$6,CA!$C$8:$AQ$8,TRUE)</f>
        <v>0</v>
      </c>
      <c r="I155" s="23" cm="1">
        <f t="array" aca="1" ref="I155" ca="1">SUMIFS(Quantity!$C156:$AH156,Quantity!$C$7:$AH$7,J$6,Quantity!$C$8:$AH$8,TRUE)</f>
        <v>0</v>
      </c>
      <c r="J155" s="25" cm="1">
        <f t="array" aca="1" ref="J155" ca="1">SUMIFS(CA!$C156:$AQ156,CA!$C$7:$AQ$7,J$6,CA!$C$8:$AQ$8,TRUE)</f>
        <v>0</v>
      </c>
      <c r="K155" s="26" t="str" cm="1">
        <f t="array" ref="K155">IF(SUM(Quantity!O156:Z156)=0,"",SUM(Quantity!O156:Z156))</f>
        <v/>
      </c>
      <c r="L155" s="24" t="str" cm="1">
        <f t="array" ref="L155">IF(SUM(CA!O156:Z156)=0,"",SUM(CA!O156:Z156))</f>
        <v/>
      </c>
      <c r="M155" s="23" t="str" cm="1">
        <f t="array" ref="M155">IF(SUM(Quantity!C156:N156)=0,"",SUM(Quantity!C156:N156))</f>
        <v/>
      </c>
      <c r="N155" s="25" t="str" cm="1">
        <f t="array" ref="N155">IF(SUM(CA!C156:N156)=0,"",SUM(CA!C156:N156))</f>
        <v/>
      </c>
    </row>
    <row r="156" spans="1:14" x14ac:dyDescent="0.25">
      <c r="A156" s="1"/>
      <c r="B156" s="22" cm="1">
        <f t="array" ref="B156">Quantity!B157</f>
        <v>0</v>
      </c>
      <c r="C156" s="23" cm="1">
        <f t="array" ref="C156">Quantity!O157</f>
        <v>0</v>
      </c>
      <c r="D156" s="24" cm="1">
        <f t="array" ref="D156">CA!O157</f>
        <v>0</v>
      </c>
      <c r="E156" s="23" cm="1">
        <f t="array" ref="E156">Quantity!C157</f>
        <v>0</v>
      </c>
      <c r="F156" s="25" cm="1">
        <f t="array" ref="F156">CA!C157</f>
        <v>0</v>
      </c>
      <c r="G156" s="26" cm="1">
        <f t="array" aca="1" ref="G156" ca="1">SUMIFS(Quantity!$C157:$AH157,Quantity!$C$7:$AH$7,H$6,Quantity!$C$8:$AH$8,TRUE)</f>
        <v>0</v>
      </c>
      <c r="H156" s="24" cm="1">
        <f t="array" aca="1" ref="H156" ca="1">SUMIFS(CA!$C157:$AQ157,CA!$C$7:$AQ$7,H$6,CA!$C$8:$AQ$8,TRUE)</f>
        <v>0</v>
      </c>
      <c r="I156" s="23" cm="1">
        <f t="array" aca="1" ref="I156" ca="1">SUMIFS(Quantity!$C157:$AH157,Quantity!$C$7:$AH$7,J$6,Quantity!$C$8:$AH$8,TRUE)</f>
        <v>0</v>
      </c>
      <c r="J156" s="25" cm="1">
        <f t="array" aca="1" ref="J156" ca="1">SUMIFS(CA!$C157:$AQ157,CA!$C$7:$AQ$7,J$6,CA!$C$8:$AQ$8,TRUE)</f>
        <v>0</v>
      </c>
      <c r="K156" s="26" t="str" cm="1">
        <f t="array" ref="K156">IF(SUM(Quantity!O157:Z157)=0,"",SUM(Quantity!O157:Z157))</f>
        <v/>
      </c>
      <c r="L156" s="24" t="str" cm="1">
        <f t="array" ref="L156">IF(SUM(CA!O157:Z157)=0,"",SUM(CA!O157:Z157))</f>
        <v/>
      </c>
      <c r="M156" s="23" t="str" cm="1">
        <f t="array" ref="M156">IF(SUM(Quantity!C157:N157)=0,"",SUM(Quantity!C157:N157))</f>
        <v/>
      </c>
      <c r="N156" s="25" t="str" cm="1">
        <f t="array" ref="N156">IF(SUM(CA!C157:N157)=0,"",SUM(CA!C157:N157))</f>
        <v/>
      </c>
    </row>
    <row r="157" spans="1:14" x14ac:dyDescent="0.25">
      <c r="A157" s="1"/>
      <c r="B157" s="22" cm="1">
        <f t="array" ref="B157">Quantity!B158</f>
        <v>0</v>
      </c>
      <c r="C157" s="23" cm="1">
        <f t="array" ref="C157">Quantity!O158</f>
        <v>0</v>
      </c>
      <c r="D157" s="24" cm="1">
        <f t="array" ref="D157">CA!O158</f>
        <v>0</v>
      </c>
      <c r="E157" s="23" cm="1">
        <f t="array" ref="E157">Quantity!C158</f>
        <v>0</v>
      </c>
      <c r="F157" s="25" cm="1">
        <f t="array" ref="F157">CA!C158</f>
        <v>0</v>
      </c>
      <c r="G157" s="26" cm="1">
        <f t="array" aca="1" ref="G157" ca="1">SUMIFS(Quantity!$C158:$AH158,Quantity!$C$7:$AH$7,H$6,Quantity!$C$8:$AH$8,TRUE)</f>
        <v>0</v>
      </c>
      <c r="H157" s="24" cm="1">
        <f t="array" aca="1" ref="H157" ca="1">SUMIFS(CA!$C158:$AQ158,CA!$C$7:$AQ$7,H$6,CA!$C$8:$AQ$8,TRUE)</f>
        <v>0</v>
      </c>
      <c r="I157" s="23" cm="1">
        <f t="array" aca="1" ref="I157" ca="1">SUMIFS(Quantity!$C158:$AH158,Quantity!$C$7:$AH$7,J$6,Quantity!$C$8:$AH$8,TRUE)</f>
        <v>0</v>
      </c>
      <c r="J157" s="25" cm="1">
        <f t="array" aca="1" ref="J157" ca="1">SUMIFS(CA!$C158:$AQ158,CA!$C$7:$AQ$7,J$6,CA!$C$8:$AQ$8,TRUE)</f>
        <v>0</v>
      </c>
      <c r="K157" s="26" t="str" cm="1">
        <f t="array" ref="K157">IF(SUM(Quantity!O158:Z158)=0,"",SUM(Quantity!O158:Z158))</f>
        <v/>
      </c>
      <c r="L157" s="24" t="str" cm="1">
        <f t="array" ref="L157">IF(SUM(CA!O158:Z158)=0,"",SUM(CA!O158:Z158))</f>
        <v/>
      </c>
      <c r="M157" s="23" t="str" cm="1">
        <f t="array" ref="M157">IF(SUM(Quantity!C158:N158)=0,"",SUM(Quantity!C158:N158))</f>
        <v/>
      </c>
      <c r="N157" s="25" t="str" cm="1">
        <f t="array" ref="N157">IF(SUM(CA!C158:N158)=0,"",SUM(CA!C158:N158))</f>
        <v/>
      </c>
    </row>
    <row r="158" spans="1:14" x14ac:dyDescent="0.25">
      <c r="A158" s="1"/>
      <c r="B158" s="22" cm="1">
        <f t="array" ref="B158">Quantity!B159</f>
        <v>0</v>
      </c>
      <c r="C158" s="23" cm="1">
        <f t="array" ref="C158">Quantity!O159</f>
        <v>0</v>
      </c>
      <c r="D158" s="24" cm="1">
        <f t="array" ref="D158">CA!O159</f>
        <v>0</v>
      </c>
      <c r="E158" s="23" cm="1">
        <f t="array" ref="E158">Quantity!C159</f>
        <v>0</v>
      </c>
      <c r="F158" s="25" cm="1">
        <f t="array" ref="F158">CA!C159</f>
        <v>0</v>
      </c>
      <c r="G158" s="26" cm="1">
        <f t="array" aca="1" ref="G158" ca="1">SUMIFS(Quantity!$C159:$AH159,Quantity!$C$7:$AH$7,H$6,Quantity!$C$8:$AH$8,TRUE)</f>
        <v>0</v>
      </c>
      <c r="H158" s="24" cm="1">
        <f t="array" aca="1" ref="H158" ca="1">SUMIFS(CA!$C159:$AQ159,CA!$C$7:$AQ$7,H$6,CA!$C$8:$AQ$8,TRUE)</f>
        <v>0</v>
      </c>
      <c r="I158" s="23" cm="1">
        <f t="array" aca="1" ref="I158" ca="1">SUMIFS(Quantity!$C159:$AH159,Quantity!$C$7:$AH$7,J$6,Quantity!$C$8:$AH$8,TRUE)</f>
        <v>0</v>
      </c>
      <c r="J158" s="25" cm="1">
        <f t="array" aca="1" ref="J158" ca="1">SUMIFS(CA!$C159:$AQ159,CA!$C$7:$AQ$7,J$6,CA!$C$8:$AQ$8,TRUE)</f>
        <v>0</v>
      </c>
      <c r="K158" s="26" t="str" cm="1">
        <f t="array" ref="K158">IF(SUM(Quantity!O159:Z159)=0,"",SUM(Quantity!O159:Z159))</f>
        <v/>
      </c>
      <c r="L158" s="24" t="str" cm="1">
        <f t="array" ref="L158">IF(SUM(CA!O159:Z159)=0,"",SUM(CA!O159:Z159))</f>
        <v/>
      </c>
      <c r="M158" s="23" t="str" cm="1">
        <f t="array" ref="M158">IF(SUM(Quantity!C159:N159)=0,"",SUM(Quantity!C159:N159))</f>
        <v/>
      </c>
      <c r="N158" s="25" t="str" cm="1">
        <f t="array" ref="N158">IF(SUM(CA!C159:N159)=0,"",SUM(CA!C159:N159))</f>
        <v/>
      </c>
    </row>
    <row r="159" spans="1:14" x14ac:dyDescent="0.25">
      <c r="A159" s="1"/>
      <c r="B159" s="22" cm="1">
        <f t="array" ref="B159">Quantity!B160</f>
        <v>0</v>
      </c>
      <c r="C159" s="23" cm="1">
        <f t="array" ref="C159">Quantity!O160</f>
        <v>0</v>
      </c>
      <c r="D159" s="24" cm="1">
        <f t="array" ref="D159">CA!O160</f>
        <v>0</v>
      </c>
      <c r="E159" s="23" cm="1">
        <f t="array" ref="E159">Quantity!C160</f>
        <v>0</v>
      </c>
      <c r="F159" s="25" cm="1">
        <f t="array" ref="F159">CA!C160</f>
        <v>0</v>
      </c>
      <c r="G159" s="26" cm="1">
        <f t="array" aca="1" ref="G159" ca="1">SUMIFS(Quantity!$C160:$AH160,Quantity!$C$7:$AH$7,H$6,Quantity!$C$8:$AH$8,TRUE)</f>
        <v>0</v>
      </c>
      <c r="H159" s="24" cm="1">
        <f t="array" aca="1" ref="H159" ca="1">SUMIFS(CA!$C160:$AQ160,CA!$C$7:$AQ$7,H$6,CA!$C$8:$AQ$8,TRUE)</f>
        <v>0</v>
      </c>
      <c r="I159" s="23" cm="1">
        <f t="array" aca="1" ref="I159" ca="1">SUMIFS(Quantity!$C160:$AH160,Quantity!$C$7:$AH$7,J$6,Quantity!$C$8:$AH$8,TRUE)</f>
        <v>0</v>
      </c>
      <c r="J159" s="25" cm="1">
        <f t="array" aca="1" ref="J159" ca="1">SUMIFS(CA!$C160:$AQ160,CA!$C$7:$AQ$7,J$6,CA!$C$8:$AQ$8,TRUE)</f>
        <v>0</v>
      </c>
      <c r="K159" s="26" t="str" cm="1">
        <f t="array" ref="K159">IF(SUM(Quantity!O160:Z160)=0,"",SUM(Quantity!O160:Z160))</f>
        <v/>
      </c>
      <c r="L159" s="24" t="str" cm="1">
        <f t="array" ref="L159">IF(SUM(CA!O160:Z160)=0,"",SUM(CA!O160:Z160))</f>
        <v/>
      </c>
      <c r="M159" s="23" t="str" cm="1">
        <f t="array" ref="M159">IF(SUM(Quantity!C160:N160)=0,"",SUM(Quantity!C160:N160))</f>
        <v/>
      </c>
      <c r="N159" s="25" t="str" cm="1">
        <f t="array" ref="N159">IF(SUM(CA!C160:N160)=0,"",SUM(CA!C160:N160))</f>
        <v/>
      </c>
    </row>
    <row r="160" spans="1:14" x14ac:dyDescent="0.25">
      <c r="A160" s="1"/>
      <c r="B160" s="22" cm="1">
        <f t="array" ref="B160">Quantity!B161</f>
        <v>0</v>
      </c>
      <c r="C160" s="23" cm="1">
        <f t="array" ref="C160">Quantity!O161</f>
        <v>0</v>
      </c>
      <c r="D160" s="24" cm="1">
        <f t="array" ref="D160">CA!O161</f>
        <v>0</v>
      </c>
      <c r="E160" s="23" cm="1">
        <f t="array" ref="E160">Quantity!C161</f>
        <v>0</v>
      </c>
      <c r="F160" s="25" cm="1">
        <f t="array" ref="F160">CA!C161</f>
        <v>0</v>
      </c>
      <c r="G160" s="26" cm="1">
        <f t="array" aca="1" ref="G160" ca="1">SUMIFS(Quantity!$C161:$AH161,Quantity!$C$7:$AH$7,H$6,Quantity!$C$8:$AH$8,TRUE)</f>
        <v>0</v>
      </c>
      <c r="H160" s="24" cm="1">
        <f t="array" aca="1" ref="H160" ca="1">SUMIFS(CA!$C161:$AQ161,CA!$C$7:$AQ$7,H$6,CA!$C$8:$AQ$8,TRUE)</f>
        <v>0</v>
      </c>
      <c r="I160" s="23" cm="1">
        <f t="array" aca="1" ref="I160" ca="1">SUMIFS(Quantity!$C161:$AH161,Quantity!$C$7:$AH$7,J$6,Quantity!$C$8:$AH$8,TRUE)</f>
        <v>0</v>
      </c>
      <c r="J160" s="25" cm="1">
        <f t="array" aca="1" ref="J160" ca="1">SUMIFS(CA!$C161:$AQ161,CA!$C$7:$AQ$7,J$6,CA!$C$8:$AQ$8,TRUE)</f>
        <v>0</v>
      </c>
      <c r="K160" s="26" t="str" cm="1">
        <f t="array" ref="K160">IF(SUM(Quantity!O161:Z161)=0,"",SUM(Quantity!O161:Z161))</f>
        <v/>
      </c>
      <c r="L160" s="24" t="str" cm="1">
        <f t="array" ref="L160">IF(SUM(CA!O161:Z161)=0,"",SUM(CA!O161:Z161))</f>
        <v/>
      </c>
      <c r="M160" s="23" t="str" cm="1">
        <f t="array" ref="M160">IF(SUM(Quantity!C161:N161)=0,"",SUM(Quantity!C161:N161))</f>
        <v/>
      </c>
      <c r="N160" s="25" t="str" cm="1">
        <f t="array" ref="N160">IF(SUM(CA!C161:N161)=0,"",SUM(CA!C161:N161))</f>
        <v/>
      </c>
    </row>
    <row r="161" spans="1:14" x14ac:dyDescent="0.25">
      <c r="A161" s="1"/>
      <c r="B161" s="22" cm="1">
        <f t="array" ref="B161">Quantity!B162</f>
        <v>0</v>
      </c>
      <c r="C161" s="23" cm="1">
        <f t="array" ref="C161">Quantity!O162</f>
        <v>0</v>
      </c>
      <c r="D161" s="24" cm="1">
        <f t="array" ref="D161">CA!O162</f>
        <v>0</v>
      </c>
      <c r="E161" s="23" cm="1">
        <f t="array" ref="E161">Quantity!C162</f>
        <v>0</v>
      </c>
      <c r="F161" s="25" cm="1">
        <f t="array" ref="F161">CA!C162</f>
        <v>0</v>
      </c>
      <c r="G161" s="26" cm="1">
        <f t="array" aca="1" ref="G161" ca="1">SUMIFS(Quantity!$C162:$AH162,Quantity!$C$7:$AH$7,H$6,Quantity!$C$8:$AH$8,TRUE)</f>
        <v>0</v>
      </c>
      <c r="H161" s="24" cm="1">
        <f t="array" aca="1" ref="H161" ca="1">SUMIFS(CA!$C162:$AQ162,CA!$C$7:$AQ$7,H$6,CA!$C$8:$AQ$8,TRUE)</f>
        <v>0</v>
      </c>
      <c r="I161" s="23" cm="1">
        <f t="array" aca="1" ref="I161" ca="1">SUMIFS(Quantity!$C162:$AH162,Quantity!$C$7:$AH$7,J$6,Quantity!$C$8:$AH$8,TRUE)</f>
        <v>0</v>
      </c>
      <c r="J161" s="25" cm="1">
        <f t="array" aca="1" ref="J161" ca="1">SUMIFS(CA!$C162:$AQ162,CA!$C$7:$AQ$7,J$6,CA!$C$8:$AQ$8,TRUE)</f>
        <v>0</v>
      </c>
      <c r="K161" s="26" t="str" cm="1">
        <f t="array" ref="K161">IF(SUM(Quantity!O162:Z162)=0,"",SUM(Quantity!O162:Z162))</f>
        <v/>
      </c>
      <c r="L161" s="24" t="str" cm="1">
        <f t="array" ref="L161">IF(SUM(CA!O162:Z162)=0,"",SUM(CA!O162:Z162))</f>
        <v/>
      </c>
      <c r="M161" s="23" t="str" cm="1">
        <f t="array" ref="M161">IF(SUM(Quantity!C162:N162)=0,"",SUM(Quantity!C162:N162))</f>
        <v/>
      </c>
      <c r="N161" s="25" t="str" cm="1">
        <f t="array" ref="N161">IF(SUM(CA!C162:N162)=0,"",SUM(CA!C162:N162))</f>
        <v/>
      </c>
    </row>
    <row r="162" spans="1:14" x14ac:dyDescent="0.25">
      <c r="A162" s="1"/>
      <c r="B162" s="22" cm="1">
        <f t="array" ref="B162">Quantity!B163</f>
        <v>0</v>
      </c>
      <c r="C162" s="23" cm="1">
        <f t="array" ref="C162">Quantity!O163</f>
        <v>0</v>
      </c>
      <c r="D162" s="24" cm="1">
        <f t="array" ref="D162">CA!O163</f>
        <v>0</v>
      </c>
      <c r="E162" s="23" cm="1">
        <f t="array" ref="E162">Quantity!C163</f>
        <v>0</v>
      </c>
      <c r="F162" s="25" cm="1">
        <f t="array" ref="F162">CA!C163</f>
        <v>0</v>
      </c>
      <c r="G162" s="26" cm="1">
        <f t="array" aca="1" ref="G162" ca="1">SUMIFS(Quantity!$C163:$AH163,Quantity!$C$7:$AH$7,H$6,Quantity!$C$8:$AH$8,TRUE)</f>
        <v>0</v>
      </c>
      <c r="H162" s="24" cm="1">
        <f t="array" aca="1" ref="H162" ca="1">SUMIFS(CA!$C163:$AQ163,CA!$C$7:$AQ$7,H$6,CA!$C$8:$AQ$8,TRUE)</f>
        <v>0</v>
      </c>
      <c r="I162" s="23" cm="1">
        <f t="array" aca="1" ref="I162" ca="1">SUMIFS(Quantity!$C163:$AH163,Quantity!$C$7:$AH$7,J$6,Quantity!$C$8:$AH$8,TRUE)</f>
        <v>0</v>
      </c>
      <c r="J162" s="25" cm="1">
        <f t="array" aca="1" ref="J162" ca="1">SUMIFS(CA!$C163:$AQ163,CA!$C$7:$AQ$7,J$6,CA!$C$8:$AQ$8,TRUE)</f>
        <v>0</v>
      </c>
      <c r="K162" s="26" t="str" cm="1">
        <f t="array" ref="K162">IF(SUM(Quantity!O163:Z163)=0,"",SUM(Quantity!O163:Z163))</f>
        <v/>
      </c>
      <c r="L162" s="24" t="str" cm="1">
        <f t="array" ref="L162">IF(SUM(CA!O163:Z163)=0,"",SUM(CA!O163:Z163))</f>
        <v/>
      </c>
      <c r="M162" s="23" t="str" cm="1">
        <f t="array" ref="M162">IF(SUM(Quantity!C163:N163)=0,"",SUM(Quantity!C163:N163))</f>
        <v/>
      </c>
      <c r="N162" s="25" t="str" cm="1">
        <f t="array" ref="N162">IF(SUM(CA!C163:N163)=0,"",SUM(CA!C163:N163))</f>
        <v/>
      </c>
    </row>
    <row r="163" spans="1:14" x14ac:dyDescent="0.25">
      <c r="A163" s="1"/>
      <c r="B163" s="22" cm="1">
        <f t="array" ref="B163">Quantity!B164</f>
        <v>0</v>
      </c>
      <c r="C163" s="23" cm="1">
        <f t="array" ref="C163">Quantity!O164</f>
        <v>0</v>
      </c>
      <c r="D163" s="24" cm="1">
        <f t="array" ref="D163">CA!O164</f>
        <v>0</v>
      </c>
      <c r="E163" s="23" cm="1">
        <f t="array" ref="E163">Quantity!C164</f>
        <v>0</v>
      </c>
      <c r="F163" s="25" cm="1">
        <f t="array" ref="F163">CA!C164</f>
        <v>0</v>
      </c>
      <c r="G163" s="26" cm="1">
        <f t="array" aca="1" ref="G163" ca="1">SUMIFS(Quantity!$C164:$AH164,Quantity!$C$7:$AH$7,H$6,Quantity!$C$8:$AH$8,TRUE)</f>
        <v>0</v>
      </c>
      <c r="H163" s="24" cm="1">
        <f t="array" aca="1" ref="H163" ca="1">SUMIFS(CA!$C164:$AQ164,CA!$C$7:$AQ$7,H$6,CA!$C$8:$AQ$8,TRUE)</f>
        <v>0</v>
      </c>
      <c r="I163" s="23" cm="1">
        <f t="array" aca="1" ref="I163" ca="1">SUMIFS(Quantity!$C164:$AH164,Quantity!$C$7:$AH$7,J$6,Quantity!$C$8:$AH$8,TRUE)</f>
        <v>0</v>
      </c>
      <c r="J163" s="25" cm="1">
        <f t="array" aca="1" ref="J163" ca="1">SUMIFS(CA!$C164:$AQ164,CA!$C$7:$AQ$7,J$6,CA!$C$8:$AQ$8,TRUE)</f>
        <v>0</v>
      </c>
      <c r="K163" s="26" t="str" cm="1">
        <f t="array" ref="K163">IF(SUM(Quantity!O164:Z164)=0,"",SUM(Quantity!O164:Z164))</f>
        <v/>
      </c>
      <c r="L163" s="24" t="str" cm="1">
        <f t="array" ref="L163">IF(SUM(CA!O164:Z164)=0,"",SUM(CA!O164:Z164))</f>
        <v/>
      </c>
      <c r="M163" s="23" t="str" cm="1">
        <f t="array" ref="M163">IF(SUM(Quantity!C164:N164)=0,"",SUM(Quantity!C164:N164))</f>
        <v/>
      </c>
      <c r="N163" s="25" t="str" cm="1">
        <f t="array" ref="N163">IF(SUM(CA!C164:N164)=0,"",SUM(CA!C164:N164))</f>
        <v/>
      </c>
    </row>
    <row r="164" spans="1:14" x14ac:dyDescent="0.25">
      <c r="A164" s="1"/>
      <c r="B164" s="22" cm="1">
        <f t="array" ref="B164">Quantity!B165</f>
        <v>0</v>
      </c>
      <c r="C164" s="23" cm="1">
        <f t="array" ref="C164">Quantity!O165</f>
        <v>0</v>
      </c>
      <c r="D164" s="24" cm="1">
        <f t="array" ref="D164">CA!O165</f>
        <v>0</v>
      </c>
      <c r="E164" s="23" cm="1">
        <f t="array" ref="E164">Quantity!C165</f>
        <v>0</v>
      </c>
      <c r="F164" s="25" cm="1">
        <f t="array" ref="F164">CA!C165</f>
        <v>0</v>
      </c>
      <c r="G164" s="26" cm="1">
        <f t="array" aca="1" ref="G164" ca="1">SUMIFS(Quantity!$C165:$AH165,Quantity!$C$7:$AH$7,H$6,Quantity!$C$8:$AH$8,TRUE)</f>
        <v>0</v>
      </c>
      <c r="H164" s="24" cm="1">
        <f t="array" aca="1" ref="H164" ca="1">SUMIFS(CA!$C165:$AQ165,CA!$C$7:$AQ$7,H$6,CA!$C$8:$AQ$8,TRUE)</f>
        <v>0</v>
      </c>
      <c r="I164" s="23" cm="1">
        <f t="array" aca="1" ref="I164" ca="1">SUMIFS(Quantity!$C165:$AH165,Quantity!$C$7:$AH$7,J$6,Quantity!$C$8:$AH$8,TRUE)</f>
        <v>0</v>
      </c>
      <c r="J164" s="25" cm="1">
        <f t="array" aca="1" ref="J164" ca="1">SUMIFS(CA!$C165:$AQ165,CA!$C$7:$AQ$7,J$6,CA!$C$8:$AQ$8,TRUE)</f>
        <v>0</v>
      </c>
      <c r="K164" s="26" t="str" cm="1">
        <f t="array" ref="K164">IF(SUM(Quantity!O165:Z165)=0,"",SUM(Quantity!O165:Z165))</f>
        <v/>
      </c>
      <c r="L164" s="24" t="str" cm="1">
        <f t="array" ref="L164">IF(SUM(CA!O165:Z165)=0,"",SUM(CA!O165:Z165))</f>
        <v/>
      </c>
      <c r="M164" s="23" t="str" cm="1">
        <f t="array" ref="M164">IF(SUM(Quantity!C165:N165)=0,"",SUM(Quantity!C165:N165))</f>
        <v/>
      </c>
      <c r="N164" s="25" t="str" cm="1">
        <f t="array" ref="N164">IF(SUM(CA!C165:N165)=0,"",SUM(CA!C165:N165))</f>
        <v/>
      </c>
    </row>
    <row r="165" spans="1:14" x14ac:dyDescent="0.25">
      <c r="A165" s="1"/>
      <c r="B165" s="22" cm="1">
        <f t="array" ref="B165">Quantity!B166</f>
        <v>0</v>
      </c>
      <c r="C165" s="23" cm="1">
        <f t="array" ref="C165">Quantity!O166</f>
        <v>0</v>
      </c>
      <c r="D165" s="24" cm="1">
        <f t="array" ref="D165">CA!O166</f>
        <v>0</v>
      </c>
      <c r="E165" s="23" cm="1">
        <f t="array" ref="E165">Quantity!C166</f>
        <v>0</v>
      </c>
      <c r="F165" s="25" cm="1">
        <f t="array" ref="F165">CA!C166</f>
        <v>0</v>
      </c>
      <c r="G165" s="26" cm="1">
        <f t="array" aca="1" ref="G165" ca="1">SUMIFS(Quantity!$C166:$AH166,Quantity!$C$7:$AH$7,H$6,Quantity!$C$8:$AH$8,TRUE)</f>
        <v>0</v>
      </c>
      <c r="H165" s="24" cm="1">
        <f t="array" aca="1" ref="H165" ca="1">SUMIFS(CA!$C166:$AQ166,CA!$C$7:$AQ$7,H$6,CA!$C$8:$AQ$8,TRUE)</f>
        <v>0</v>
      </c>
      <c r="I165" s="23" cm="1">
        <f t="array" aca="1" ref="I165" ca="1">SUMIFS(Quantity!$C166:$AH166,Quantity!$C$7:$AH$7,J$6,Quantity!$C$8:$AH$8,TRUE)</f>
        <v>0</v>
      </c>
      <c r="J165" s="25" cm="1">
        <f t="array" aca="1" ref="J165" ca="1">SUMIFS(CA!$C166:$AQ166,CA!$C$7:$AQ$7,J$6,CA!$C$8:$AQ$8,TRUE)</f>
        <v>0</v>
      </c>
      <c r="K165" s="26" t="str" cm="1">
        <f t="array" ref="K165">IF(SUM(Quantity!O166:Z166)=0,"",SUM(Quantity!O166:Z166))</f>
        <v/>
      </c>
      <c r="L165" s="24" t="str" cm="1">
        <f t="array" ref="L165">IF(SUM(CA!O166:Z166)=0,"",SUM(CA!O166:Z166))</f>
        <v/>
      </c>
      <c r="M165" s="23" t="str" cm="1">
        <f t="array" ref="M165">IF(SUM(Quantity!C166:N166)=0,"",SUM(Quantity!C166:N166))</f>
        <v/>
      </c>
      <c r="N165" s="25" t="str" cm="1">
        <f t="array" ref="N165">IF(SUM(CA!C166:N166)=0,"",SUM(CA!C166:N166))</f>
        <v/>
      </c>
    </row>
    <row r="166" spans="1:14" x14ac:dyDescent="0.25">
      <c r="A166" s="1"/>
      <c r="B166" s="22" cm="1">
        <f t="array" ref="B166">Quantity!B167</f>
        <v>0</v>
      </c>
      <c r="C166" s="23" cm="1">
        <f t="array" ref="C166">Quantity!O167</f>
        <v>0</v>
      </c>
      <c r="D166" s="24" cm="1">
        <f t="array" ref="D166">CA!O167</f>
        <v>0</v>
      </c>
      <c r="E166" s="23" cm="1">
        <f t="array" ref="E166">Quantity!C167</f>
        <v>0</v>
      </c>
      <c r="F166" s="25" cm="1">
        <f t="array" ref="F166">CA!C167</f>
        <v>0</v>
      </c>
      <c r="G166" s="26" cm="1">
        <f t="array" aca="1" ref="G166" ca="1">SUMIFS(Quantity!$C167:$AH167,Quantity!$C$7:$AH$7,H$6,Quantity!$C$8:$AH$8,TRUE)</f>
        <v>0</v>
      </c>
      <c r="H166" s="24" cm="1">
        <f t="array" aca="1" ref="H166" ca="1">SUMIFS(CA!$C167:$AQ167,CA!$C$7:$AQ$7,H$6,CA!$C$8:$AQ$8,TRUE)</f>
        <v>0</v>
      </c>
      <c r="I166" s="23" cm="1">
        <f t="array" aca="1" ref="I166" ca="1">SUMIFS(Quantity!$C167:$AH167,Quantity!$C$7:$AH$7,J$6,Quantity!$C$8:$AH$8,TRUE)</f>
        <v>0</v>
      </c>
      <c r="J166" s="25" cm="1">
        <f t="array" aca="1" ref="J166" ca="1">SUMIFS(CA!$C167:$AQ167,CA!$C$7:$AQ$7,J$6,CA!$C$8:$AQ$8,TRUE)</f>
        <v>0</v>
      </c>
      <c r="K166" s="26" t="str" cm="1">
        <f t="array" ref="K166">IF(SUM(Quantity!O167:Z167)=0,"",SUM(Quantity!O167:Z167))</f>
        <v/>
      </c>
      <c r="L166" s="24" t="str" cm="1">
        <f t="array" ref="L166">IF(SUM(CA!O167:Z167)=0,"",SUM(CA!O167:Z167))</f>
        <v/>
      </c>
      <c r="M166" s="23" t="str" cm="1">
        <f t="array" ref="M166">IF(SUM(Quantity!C167:N167)=0,"",SUM(Quantity!C167:N167))</f>
        <v/>
      </c>
      <c r="N166" s="25" t="str" cm="1">
        <f t="array" ref="N166">IF(SUM(CA!C167:N167)=0,"",SUM(CA!C167:N167))</f>
        <v/>
      </c>
    </row>
    <row r="167" spans="1:14" x14ac:dyDescent="0.25">
      <c r="A167" s="1"/>
      <c r="B167" s="22" cm="1">
        <f t="array" ref="B167">Quantity!B168</f>
        <v>0</v>
      </c>
      <c r="C167" s="23" cm="1">
        <f t="array" ref="C167">Quantity!O168</f>
        <v>0</v>
      </c>
      <c r="D167" s="24" cm="1">
        <f t="array" ref="D167">CA!O168</f>
        <v>0</v>
      </c>
      <c r="E167" s="23" cm="1">
        <f t="array" ref="E167">Quantity!C168</f>
        <v>0</v>
      </c>
      <c r="F167" s="25" cm="1">
        <f t="array" ref="F167">CA!C168</f>
        <v>0</v>
      </c>
      <c r="G167" s="26" cm="1">
        <f t="array" aca="1" ref="G167" ca="1">SUMIFS(Quantity!$C168:$AH168,Quantity!$C$7:$AH$7,H$6,Quantity!$C$8:$AH$8,TRUE)</f>
        <v>0</v>
      </c>
      <c r="H167" s="24" cm="1">
        <f t="array" aca="1" ref="H167" ca="1">SUMIFS(CA!$C168:$AQ168,CA!$C$7:$AQ$7,H$6,CA!$C$8:$AQ$8,TRUE)</f>
        <v>0</v>
      </c>
      <c r="I167" s="23" cm="1">
        <f t="array" aca="1" ref="I167" ca="1">SUMIFS(Quantity!$C168:$AH168,Quantity!$C$7:$AH$7,J$6,Quantity!$C$8:$AH$8,TRUE)</f>
        <v>0</v>
      </c>
      <c r="J167" s="25" cm="1">
        <f t="array" aca="1" ref="J167" ca="1">SUMIFS(CA!$C168:$AQ168,CA!$C$7:$AQ$7,J$6,CA!$C$8:$AQ$8,TRUE)</f>
        <v>0</v>
      </c>
      <c r="K167" s="26" t="str" cm="1">
        <f t="array" ref="K167">IF(SUM(Quantity!O168:Z168)=0,"",SUM(Quantity!O168:Z168))</f>
        <v/>
      </c>
      <c r="L167" s="24" t="str" cm="1">
        <f t="array" ref="L167">IF(SUM(CA!O168:Z168)=0,"",SUM(CA!O168:Z168))</f>
        <v/>
      </c>
      <c r="M167" s="23" t="str" cm="1">
        <f t="array" ref="M167">IF(SUM(Quantity!C168:N168)=0,"",SUM(Quantity!C168:N168))</f>
        <v/>
      </c>
      <c r="N167" s="25" t="str" cm="1">
        <f t="array" ref="N167">IF(SUM(CA!C168:N168)=0,"",SUM(CA!C168:N168))</f>
        <v/>
      </c>
    </row>
    <row r="168" spans="1:14" x14ac:dyDescent="0.25">
      <c r="A168" s="1"/>
      <c r="B168" s="22" cm="1">
        <f t="array" ref="B168">Quantity!B169</f>
        <v>0</v>
      </c>
      <c r="C168" s="23" cm="1">
        <f t="array" ref="C168">Quantity!O169</f>
        <v>0</v>
      </c>
      <c r="D168" s="24" cm="1">
        <f t="array" ref="D168">CA!O169</f>
        <v>0</v>
      </c>
      <c r="E168" s="23" cm="1">
        <f t="array" ref="E168">Quantity!C169</f>
        <v>0</v>
      </c>
      <c r="F168" s="25" cm="1">
        <f t="array" ref="F168">CA!C169</f>
        <v>0</v>
      </c>
      <c r="G168" s="26" cm="1">
        <f t="array" aca="1" ref="G168" ca="1">SUMIFS(Quantity!$C169:$AH169,Quantity!$C$7:$AH$7,H$6,Quantity!$C$8:$AH$8,TRUE)</f>
        <v>0</v>
      </c>
      <c r="H168" s="24" cm="1">
        <f t="array" aca="1" ref="H168" ca="1">SUMIFS(CA!$C169:$AQ169,CA!$C$7:$AQ$7,H$6,CA!$C$8:$AQ$8,TRUE)</f>
        <v>0</v>
      </c>
      <c r="I168" s="23" cm="1">
        <f t="array" aca="1" ref="I168" ca="1">SUMIFS(Quantity!$C169:$AH169,Quantity!$C$7:$AH$7,J$6,Quantity!$C$8:$AH$8,TRUE)</f>
        <v>0</v>
      </c>
      <c r="J168" s="25" cm="1">
        <f t="array" aca="1" ref="J168" ca="1">SUMIFS(CA!$C169:$AQ169,CA!$C$7:$AQ$7,J$6,CA!$C$8:$AQ$8,TRUE)</f>
        <v>0</v>
      </c>
      <c r="K168" s="26" t="str" cm="1">
        <f t="array" ref="K168">IF(SUM(Quantity!O169:Z169)=0,"",SUM(Quantity!O169:Z169))</f>
        <v/>
      </c>
      <c r="L168" s="24" t="str" cm="1">
        <f t="array" ref="L168">IF(SUM(CA!O169:Z169)=0,"",SUM(CA!O169:Z169))</f>
        <v/>
      </c>
      <c r="M168" s="23" t="str" cm="1">
        <f t="array" ref="M168">IF(SUM(Quantity!C169:N169)=0,"",SUM(Quantity!C169:N169))</f>
        <v/>
      </c>
      <c r="N168" s="25" t="str" cm="1">
        <f t="array" ref="N168">IF(SUM(CA!C169:N169)=0,"",SUM(CA!C169:N169))</f>
        <v/>
      </c>
    </row>
    <row r="169" spans="1:14" x14ac:dyDescent="0.25">
      <c r="A169" s="1"/>
      <c r="B169" s="22" cm="1">
        <f t="array" ref="B169">Quantity!B170</f>
        <v>0</v>
      </c>
      <c r="C169" s="23" cm="1">
        <f t="array" ref="C169">Quantity!O170</f>
        <v>0</v>
      </c>
      <c r="D169" s="24" cm="1">
        <f t="array" ref="D169">CA!O170</f>
        <v>0</v>
      </c>
      <c r="E169" s="23" cm="1">
        <f t="array" ref="E169">Quantity!C170</f>
        <v>0</v>
      </c>
      <c r="F169" s="25" cm="1">
        <f t="array" ref="F169">CA!C170</f>
        <v>0</v>
      </c>
      <c r="G169" s="26" cm="1">
        <f t="array" aca="1" ref="G169" ca="1">SUMIFS(Quantity!$C170:$AH170,Quantity!$C$7:$AH$7,H$6,Quantity!$C$8:$AH$8,TRUE)</f>
        <v>0</v>
      </c>
      <c r="H169" s="24" cm="1">
        <f t="array" aca="1" ref="H169" ca="1">SUMIFS(CA!$C170:$AQ170,CA!$C$7:$AQ$7,H$6,CA!$C$8:$AQ$8,TRUE)</f>
        <v>0</v>
      </c>
      <c r="I169" s="23" cm="1">
        <f t="array" aca="1" ref="I169" ca="1">SUMIFS(Quantity!$C170:$AH170,Quantity!$C$7:$AH$7,J$6,Quantity!$C$8:$AH$8,TRUE)</f>
        <v>0</v>
      </c>
      <c r="J169" s="25" cm="1">
        <f t="array" aca="1" ref="J169" ca="1">SUMIFS(CA!$C170:$AQ170,CA!$C$7:$AQ$7,J$6,CA!$C$8:$AQ$8,TRUE)</f>
        <v>0</v>
      </c>
      <c r="K169" s="26" t="str" cm="1">
        <f t="array" ref="K169">IF(SUM(Quantity!O170:Z170)=0,"",SUM(Quantity!O170:Z170))</f>
        <v/>
      </c>
      <c r="L169" s="24" t="str" cm="1">
        <f t="array" ref="L169">IF(SUM(CA!O170:Z170)=0,"",SUM(CA!O170:Z170))</f>
        <v/>
      </c>
      <c r="M169" s="23" t="str" cm="1">
        <f t="array" ref="M169">IF(SUM(Quantity!C170:N170)=0,"",SUM(Quantity!C170:N170))</f>
        <v/>
      </c>
      <c r="N169" s="25" t="str" cm="1">
        <f t="array" ref="N169">IF(SUM(CA!C170:N170)=0,"",SUM(CA!C170:N170))</f>
        <v/>
      </c>
    </row>
    <row r="170" spans="1:14" x14ac:dyDescent="0.25">
      <c r="A170" s="1"/>
      <c r="B170" s="22" cm="1">
        <f t="array" ref="B170">Quantity!B171</f>
        <v>0</v>
      </c>
      <c r="C170" s="23" cm="1">
        <f t="array" ref="C170">Quantity!O171</f>
        <v>0</v>
      </c>
      <c r="D170" s="24" cm="1">
        <f t="array" ref="D170">CA!O171</f>
        <v>0</v>
      </c>
      <c r="E170" s="23" cm="1">
        <f t="array" ref="E170">Quantity!C171</f>
        <v>0</v>
      </c>
      <c r="F170" s="25" cm="1">
        <f t="array" ref="F170">CA!C171</f>
        <v>0</v>
      </c>
      <c r="G170" s="26" cm="1">
        <f t="array" aca="1" ref="G170" ca="1">SUMIFS(Quantity!$C171:$AH171,Quantity!$C$7:$AH$7,H$6,Quantity!$C$8:$AH$8,TRUE)</f>
        <v>0</v>
      </c>
      <c r="H170" s="24" cm="1">
        <f t="array" aca="1" ref="H170" ca="1">SUMIFS(CA!$C171:$AQ171,CA!$C$7:$AQ$7,H$6,CA!$C$8:$AQ$8,TRUE)</f>
        <v>0</v>
      </c>
      <c r="I170" s="23" cm="1">
        <f t="array" aca="1" ref="I170" ca="1">SUMIFS(Quantity!$C171:$AH171,Quantity!$C$7:$AH$7,J$6,Quantity!$C$8:$AH$8,TRUE)</f>
        <v>0</v>
      </c>
      <c r="J170" s="25" cm="1">
        <f t="array" aca="1" ref="J170" ca="1">SUMIFS(CA!$C171:$AQ171,CA!$C$7:$AQ$7,J$6,CA!$C$8:$AQ$8,TRUE)</f>
        <v>0</v>
      </c>
      <c r="K170" s="26" t="str" cm="1">
        <f t="array" ref="K170">IF(SUM(Quantity!O171:Z171)=0,"",SUM(Quantity!O171:Z171))</f>
        <v/>
      </c>
      <c r="L170" s="24" t="str" cm="1">
        <f t="array" ref="L170">IF(SUM(CA!O171:Z171)=0,"",SUM(CA!O171:Z171))</f>
        <v/>
      </c>
      <c r="M170" s="23" t="str" cm="1">
        <f t="array" ref="M170">IF(SUM(Quantity!C171:N171)=0,"",SUM(Quantity!C171:N171))</f>
        <v/>
      </c>
      <c r="N170" s="25" t="str" cm="1">
        <f t="array" ref="N170">IF(SUM(CA!C171:N171)=0,"",SUM(CA!C171:N171))</f>
        <v/>
      </c>
    </row>
    <row r="171" spans="1:14" x14ac:dyDescent="0.25">
      <c r="A171" s="1"/>
      <c r="B171" s="22" cm="1">
        <f t="array" ref="B171">Quantity!B172</f>
        <v>0</v>
      </c>
      <c r="C171" s="23" cm="1">
        <f t="array" ref="C171">Quantity!O172</f>
        <v>0</v>
      </c>
      <c r="D171" s="24" cm="1">
        <f t="array" ref="D171">CA!O172</f>
        <v>0</v>
      </c>
      <c r="E171" s="23" cm="1">
        <f t="array" ref="E171">Quantity!C172</f>
        <v>0</v>
      </c>
      <c r="F171" s="25" cm="1">
        <f t="array" ref="F171">CA!C172</f>
        <v>0</v>
      </c>
      <c r="G171" s="26" cm="1">
        <f t="array" aca="1" ref="G171" ca="1">SUMIFS(Quantity!$C172:$AH172,Quantity!$C$7:$AH$7,H$6,Quantity!$C$8:$AH$8,TRUE)</f>
        <v>0</v>
      </c>
      <c r="H171" s="24" cm="1">
        <f t="array" aca="1" ref="H171" ca="1">SUMIFS(CA!$C172:$AQ172,CA!$C$7:$AQ$7,H$6,CA!$C$8:$AQ$8,TRUE)</f>
        <v>0</v>
      </c>
      <c r="I171" s="23" cm="1">
        <f t="array" aca="1" ref="I171" ca="1">SUMIFS(Quantity!$C172:$AH172,Quantity!$C$7:$AH$7,J$6,Quantity!$C$8:$AH$8,TRUE)</f>
        <v>0</v>
      </c>
      <c r="J171" s="25" cm="1">
        <f t="array" aca="1" ref="J171" ca="1">SUMIFS(CA!$C172:$AQ172,CA!$C$7:$AQ$7,J$6,CA!$C$8:$AQ$8,TRUE)</f>
        <v>0</v>
      </c>
      <c r="K171" s="26" t="str" cm="1">
        <f t="array" ref="K171">IF(SUM(Quantity!O172:Z172)=0,"",SUM(Quantity!O172:Z172))</f>
        <v/>
      </c>
      <c r="L171" s="24" t="str" cm="1">
        <f t="array" ref="L171">IF(SUM(CA!O172:Z172)=0,"",SUM(CA!O172:Z172))</f>
        <v/>
      </c>
      <c r="M171" s="23" t="str" cm="1">
        <f t="array" ref="M171">IF(SUM(Quantity!C172:N172)=0,"",SUM(Quantity!C172:N172))</f>
        <v/>
      </c>
      <c r="N171" s="25" t="str" cm="1">
        <f t="array" ref="N171">IF(SUM(CA!C172:N172)=0,"",SUM(CA!C172:N172))</f>
        <v/>
      </c>
    </row>
    <row r="172" spans="1:14" x14ac:dyDescent="0.25">
      <c r="A172" s="1"/>
      <c r="B172" s="22" cm="1">
        <f t="array" ref="B172">Quantity!B173</f>
        <v>0</v>
      </c>
      <c r="C172" s="23" cm="1">
        <f t="array" ref="C172">Quantity!O173</f>
        <v>0</v>
      </c>
      <c r="D172" s="24" cm="1">
        <f t="array" ref="D172">CA!O173</f>
        <v>0</v>
      </c>
      <c r="E172" s="23" cm="1">
        <f t="array" ref="E172">Quantity!C173</f>
        <v>0</v>
      </c>
      <c r="F172" s="25" cm="1">
        <f t="array" ref="F172">CA!C173</f>
        <v>0</v>
      </c>
      <c r="G172" s="26" cm="1">
        <f t="array" aca="1" ref="G172" ca="1">SUMIFS(Quantity!$C173:$AH173,Quantity!$C$7:$AH$7,H$6,Quantity!$C$8:$AH$8,TRUE)</f>
        <v>0</v>
      </c>
      <c r="H172" s="24" cm="1">
        <f t="array" aca="1" ref="H172" ca="1">SUMIFS(CA!$C173:$AQ173,CA!$C$7:$AQ$7,H$6,CA!$C$8:$AQ$8,TRUE)</f>
        <v>0</v>
      </c>
      <c r="I172" s="23" cm="1">
        <f t="array" aca="1" ref="I172" ca="1">SUMIFS(Quantity!$C173:$AH173,Quantity!$C$7:$AH$7,J$6,Quantity!$C$8:$AH$8,TRUE)</f>
        <v>0</v>
      </c>
      <c r="J172" s="25" cm="1">
        <f t="array" aca="1" ref="J172" ca="1">SUMIFS(CA!$C173:$AQ173,CA!$C$7:$AQ$7,J$6,CA!$C$8:$AQ$8,TRUE)</f>
        <v>0</v>
      </c>
      <c r="K172" s="26" t="str" cm="1">
        <f t="array" ref="K172">IF(SUM(Quantity!O173:Z173)=0,"",SUM(Quantity!O173:Z173))</f>
        <v/>
      </c>
      <c r="L172" s="24" t="str" cm="1">
        <f t="array" ref="L172">IF(SUM(CA!O173:Z173)=0,"",SUM(CA!O173:Z173))</f>
        <v/>
      </c>
      <c r="M172" s="23" t="str" cm="1">
        <f t="array" ref="M172">IF(SUM(Quantity!C173:N173)=0,"",SUM(Quantity!C173:N173))</f>
        <v/>
      </c>
      <c r="N172" s="25" t="str" cm="1">
        <f t="array" ref="N172">IF(SUM(CA!C173:N173)=0,"",SUM(CA!C173:N173))</f>
        <v/>
      </c>
    </row>
    <row r="173" spans="1:14" x14ac:dyDescent="0.25">
      <c r="A173" s="1"/>
      <c r="B173" s="22" cm="1">
        <f t="array" ref="B173">Quantity!B174</f>
        <v>0</v>
      </c>
      <c r="C173" s="23" cm="1">
        <f t="array" ref="C173">Quantity!O174</f>
        <v>0</v>
      </c>
      <c r="D173" s="24" cm="1">
        <f t="array" ref="D173">CA!O174</f>
        <v>0</v>
      </c>
      <c r="E173" s="23" cm="1">
        <f t="array" ref="E173">Quantity!C174</f>
        <v>0</v>
      </c>
      <c r="F173" s="25" cm="1">
        <f t="array" ref="F173">CA!C174</f>
        <v>0</v>
      </c>
      <c r="G173" s="26" cm="1">
        <f t="array" aca="1" ref="G173" ca="1">SUMIFS(Quantity!$C174:$AH174,Quantity!$C$7:$AH$7,H$6,Quantity!$C$8:$AH$8,TRUE)</f>
        <v>0</v>
      </c>
      <c r="H173" s="24" cm="1">
        <f t="array" aca="1" ref="H173" ca="1">SUMIFS(CA!$C174:$AQ174,CA!$C$7:$AQ$7,H$6,CA!$C$8:$AQ$8,TRUE)</f>
        <v>0</v>
      </c>
      <c r="I173" s="23" cm="1">
        <f t="array" aca="1" ref="I173" ca="1">SUMIFS(Quantity!$C174:$AH174,Quantity!$C$7:$AH$7,J$6,Quantity!$C$8:$AH$8,TRUE)</f>
        <v>0</v>
      </c>
      <c r="J173" s="25" cm="1">
        <f t="array" aca="1" ref="J173" ca="1">SUMIFS(CA!$C174:$AQ174,CA!$C$7:$AQ$7,J$6,CA!$C$8:$AQ$8,TRUE)</f>
        <v>0</v>
      </c>
      <c r="K173" s="26" t="str" cm="1">
        <f t="array" ref="K173">IF(SUM(Quantity!O174:Z174)=0,"",SUM(Quantity!O174:Z174))</f>
        <v/>
      </c>
      <c r="L173" s="24" t="str" cm="1">
        <f t="array" ref="L173">IF(SUM(CA!O174:Z174)=0,"",SUM(CA!O174:Z174))</f>
        <v/>
      </c>
      <c r="M173" s="23" t="str" cm="1">
        <f t="array" ref="M173">IF(SUM(Quantity!C174:N174)=0,"",SUM(Quantity!C174:N174))</f>
        <v/>
      </c>
      <c r="N173" s="25" t="str" cm="1">
        <f t="array" ref="N173">IF(SUM(CA!C174:N174)=0,"",SUM(CA!C174:N174))</f>
        <v/>
      </c>
    </row>
    <row r="174" spans="1:14" x14ac:dyDescent="0.25">
      <c r="A174" s="1"/>
      <c r="B174" s="22" cm="1">
        <f t="array" ref="B174">Quantity!B175</f>
        <v>0</v>
      </c>
      <c r="C174" s="23" cm="1">
        <f t="array" ref="C174">Quantity!O175</f>
        <v>0</v>
      </c>
      <c r="D174" s="24" cm="1">
        <f t="array" ref="D174">CA!O175</f>
        <v>0</v>
      </c>
      <c r="E174" s="23" cm="1">
        <f t="array" ref="E174">Quantity!C175</f>
        <v>0</v>
      </c>
      <c r="F174" s="25" cm="1">
        <f t="array" ref="F174">CA!C175</f>
        <v>0</v>
      </c>
      <c r="G174" s="26" cm="1">
        <f t="array" aca="1" ref="G174" ca="1">SUMIFS(Quantity!$C175:$AH175,Quantity!$C$7:$AH$7,H$6,Quantity!$C$8:$AH$8,TRUE)</f>
        <v>0</v>
      </c>
      <c r="H174" s="24" cm="1">
        <f t="array" aca="1" ref="H174" ca="1">SUMIFS(CA!$C175:$AQ175,CA!$C$7:$AQ$7,H$6,CA!$C$8:$AQ$8,TRUE)</f>
        <v>0</v>
      </c>
      <c r="I174" s="23" cm="1">
        <f t="array" aca="1" ref="I174" ca="1">SUMIFS(Quantity!$C175:$AH175,Quantity!$C$7:$AH$7,J$6,Quantity!$C$8:$AH$8,TRUE)</f>
        <v>0</v>
      </c>
      <c r="J174" s="25" cm="1">
        <f t="array" aca="1" ref="J174" ca="1">SUMIFS(CA!$C175:$AQ175,CA!$C$7:$AQ$7,J$6,CA!$C$8:$AQ$8,TRUE)</f>
        <v>0</v>
      </c>
      <c r="K174" s="26" t="str" cm="1">
        <f t="array" ref="K174">IF(SUM(Quantity!O175:Z175)=0,"",SUM(Quantity!O175:Z175))</f>
        <v/>
      </c>
      <c r="L174" s="24" t="str" cm="1">
        <f t="array" ref="L174">IF(SUM(CA!O175:Z175)=0,"",SUM(CA!O175:Z175))</f>
        <v/>
      </c>
      <c r="M174" s="23" t="str" cm="1">
        <f t="array" ref="M174">IF(SUM(Quantity!C175:N175)=0,"",SUM(Quantity!C175:N175))</f>
        <v/>
      </c>
      <c r="N174" s="25" t="str" cm="1">
        <f t="array" ref="N174">IF(SUM(CA!C175:N175)=0,"",SUM(CA!C175:N175))</f>
        <v/>
      </c>
    </row>
    <row r="175" spans="1:14" x14ac:dyDescent="0.25">
      <c r="A175" s="1"/>
      <c r="B175" s="22" cm="1">
        <f t="array" ref="B175">Quantity!B176</f>
        <v>0</v>
      </c>
      <c r="C175" s="23" cm="1">
        <f t="array" ref="C175">Quantity!O176</f>
        <v>0</v>
      </c>
      <c r="D175" s="24" cm="1">
        <f t="array" ref="D175">CA!O176</f>
        <v>0</v>
      </c>
      <c r="E175" s="23" cm="1">
        <f t="array" ref="E175">Quantity!C176</f>
        <v>0</v>
      </c>
      <c r="F175" s="25" cm="1">
        <f t="array" ref="F175">CA!C176</f>
        <v>0</v>
      </c>
      <c r="G175" s="26" cm="1">
        <f t="array" aca="1" ref="G175" ca="1">SUMIFS(Quantity!$C176:$AH176,Quantity!$C$7:$AH$7,H$6,Quantity!$C$8:$AH$8,TRUE)</f>
        <v>0</v>
      </c>
      <c r="H175" s="24" cm="1">
        <f t="array" aca="1" ref="H175" ca="1">SUMIFS(CA!$C176:$AQ176,CA!$C$7:$AQ$7,H$6,CA!$C$8:$AQ$8,TRUE)</f>
        <v>0</v>
      </c>
      <c r="I175" s="23" cm="1">
        <f t="array" aca="1" ref="I175" ca="1">SUMIFS(Quantity!$C176:$AH176,Quantity!$C$7:$AH$7,J$6,Quantity!$C$8:$AH$8,TRUE)</f>
        <v>0</v>
      </c>
      <c r="J175" s="25" cm="1">
        <f t="array" aca="1" ref="J175" ca="1">SUMIFS(CA!$C176:$AQ176,CA!$C$7:$AQ$7,J$6,CA!$C$8:$AQ$8,TRUE)</f>
        <v>0</v>
      </c>
      <c r="K175" s="26" t="str" cm="1">
        <f t="array" ref="K175">IF(SUM(Quantity!O176:Z176)=0,"",SUM(Quantity!O176:Z176))</f>
        <v/>
      </c>
      <c r="L175" s="24" t="str" cm="1">
        <f t="array" ref="L175">IF(SUM(CA!O176:Z176)=0,"",SUM(CA!O176:Z176))</f>
        <v/>
      </c>
      <c r="M175" s="23" t="str" cm="1">
        <f t="array" ref="M175">IF(SUM(Quantity!C176:N176)=0,"",SUM(Quantity!C176:N176))</f>
        <v/>
      </c>
      <c r="N175" s="25" t="str" cm="1">
        <f t="array" ref="N175">IF(SUM(CA!C176:N176)=0,"",SUM(CA!C176:N176))</f>
        <v/>
      </c>
    </row>
    <row r="176" spans="1:14" x14ac:dyDescent="0.25">
      <c r="A176" s="1"/>
      <c r="B176" s="22" cm="1">
        <f t="array" ref="B176">Quantity!B177</f>
        <v>0</v>
      </c>
      <c r="C176" s="23" cm="1">
        <f t="array" ref="C176">Quantity!O177</f>
        <v>0</v>
      </c>
      <c r="D176" s="24" cm="1">
        <f t="array" ref="D176">CA!O177</f>
        <v>0</v>
      </c>
      <c r="E176" s="23" cm="1">
        <f t="array" ref="E176">Quantity!C177</f>
        <v>0</v>
      </c>
      <c r="F176" s="25" cm="1">
        <f t="array" ref="F176">CA!C177</f>
        <v>0</v>
      </c>
      <c r="G176" s="26" cm="1">
        <f t="array" aca="1" ref="G176" ca="1">SUMIFS(Quantity!$C177:$AH177,Quantity!$C$7:$AH$7,H$6,Quantity!$C$8:$AH$8,TRUE)</f>
        <v>0</v>
      </c>
      <c r="H176" s="24" cm="1">
        <f t="array" aca="1" ref="H176" ca="1">SUMIFS(CA!$C177:$AQ177,CA!$C$7:$AQ$7,H$6,CA!$C$8:$AQ$8,TRUE)</f>
        <v>0</v>
      </c>
      <c r="I176" s="23" cm="1">
        <f t="array" aca="1" ref="I176" ca="1">SUMIFS(Quantity!$C177:$AH177,Quantity!$C$7:$AH$7,J$6,Quantity!$C$8:$AH$8,TRUE)</f>
        <v>0</v>
      </c>
      <c r="J176" s="25" cm="1">
        <f t="array" aca="1" ref="J176" ca="1">SUMIFS(CA!$C177:$AQ177,CA!$C$7:$AQ$7,J$6,CA!$C$8:$AQ$8,TRUE)</f>
        <v>0</v>
      </c>
      <c r="K176" s="26" t="str" cm="1">
        <f t="array" ref="K176">IF(SUM(Quantity!O177:Z177)=0,"",SUM(Quantity!O177:Z177))</f>
        <v/>
      </c>
      <c r="L176" s="24" t="str" cm="1">
        <f t="array" ref="L176">IF(SUM(CA!O177:Z177)=0,"",SUM(CA!O177:Z177))</f>
        <v/>
      </c>
      <c r="M176" s="23" t="str" cm="1">
        <f t="array" ref="M176">IF(SUM(Quantity!C177:N177)=0,"",SUM(Quantity!C177:N177))</f>
        <v/>
      </c>
      <c r="N176" s="25" t="str" cm="1">
        <f t="array" ref="N176">IF(SUM(CA!C177:N177)=0,"",SUM(CA!C177:N177))</f>
        <v/>
      </c>
    </row>
    <row r="177" spans="1:14" x14ac:dyDescent="0.25">
      <c r="A177" s="1"/>
      <c r="B177" s="22" cm="1">
        <f t="array" ref="B177">Quantity!B178</f>
        <v>0</v>
      </c>
      <c r="C177" s="23" cm="1">
        <f t="array" ref="C177">Quantity!O178</f>
        <v>0</v>
      </c>
      <c r="D177" s="24" cm="1">
        <f t="array" ref="D177">CA!O178</f>
        <v>0</v>
      </c>
      <c r="E177" s="23" cm="1">
        <f t="array" ref="E177">Quantity!C178</f>
        <v>0</v>
      </c>
      <c r="F177" s="25" cm="1">
        <f t="array" ref="F177">CA!C178</f>
        <v>0</v>
      </c>
      <c r="G177" s="26" cm="1">
        <f t="array" aca="1" ref="G177" ca="1">SUMIFS(Quantity!$C178:$AH178,Quantity!$C$7:$AH$7,H$6,Quantity!$C$8:$AH$8,TRUE)</f>
        <v>0</v>
      </c>
      <c r="H177" s="24" cm="1">
        <f t="array" aca="1" ref="H177" ca="1">SUMIFS(CA!$C178:$AQ178,CA!$C$7:$AQ$7,H$6,CA!$C$8:$AQ$8,TRUE)</f>
        <v>0</v>
      </c>
      <c r="I177" s="23" cm="1">
        <f t="array" aca="1" ref="I177" ca="1">SUMIFS(Quantity!$C178:$AH178,Quantity!$C$7:$AH$7,J$6,Quantity!$C$8:$AH$8,TRUE)</f>
        <v>0</v>
      </c>
      <c r="J177" s="25" cm="1">
        <f t="array" aca="1" ref="J177" ca="1">SUMIFS(CA!$C178:$AQ178,CA!$C$7:$AQ$7,J$6,CA!$C$8:$AQ$8,TRUE)</f>
        <v>0</v>
      </c>
      <c r="K177" s="26" t="str" cm="1">
        <f t="array" ref="K177">IF(SUM(Quantity!O178:Z178)=0,"",SUM(Quantity!O178:Z178))</f>
        <v/>
      </c>
      <c r="L177" s="24" t="str" cm="1">
        <f t="array" ref="L177">IF(SUM(CA!O178:Z178)=0,"",SUM(CA!O178:Z178))</f>
        <v/>
      </c>
      <c r="M177" s="23" t="str" cm="1">
        <f t="array" ref="M177">IF(SUM(Quantity!C178:N178)=0,"",SUM(Quantity!C178:N178))</f>
        <v/>
      </c>
      <c r="N177" s="25" t="str" cm="1">
        <f t="array" ref="N177">IF(SUM(CA!C178:N178)=0,"",SUM(CA!C178:N178))</f>
        <v/>
      </c>
    </row>
    <row r="178" spans="1:14" x14ac:dyDescent="0.25">
      <c r="A178" s="1"/>
      <c r="B178" s="22" cm="1">
        <f t="array" ref="B178">Quantity!B179</f>
        <v>0</v>
      </c>
      <c r="C178" s="23" cm="1">
        <f t="array" ref="C178">Quantity!O179</f>
        <v>0</v>
      </c>
      <c r="D178" s="24" cm="1">
        <f t="array" ref="D178">CA!O179</f>
        <v>0</v>
      </c>
      <c r="E178" s="23" cm="1">
        <f t="array" ref="E178">Quantity!C179</f>
        <v>0</v>
      </c>
      <c r="F178" s="25" cm="1">
        <f t="array" ref="F178">CA!C179</f>
        <v>0</v>
      </c>
      <c r="G178" s="26" cm="1">
        <f t="array" aca="1" ref="G178" ca="1">SUMIFS(Quantity!$C179:$AH179,Quantity!$C$7:$AH$7,H$6,Quantity!$C$8:$AH$8,TRUE)</f>
        <v>0</v>
      </c>
      <c r="H178" s="24" cm="1">
        <f t="array" aca="1" ref="H178" ca="1">SUMIFS(CA!$C179:$AQ179,CA!$C$7:$AQ$7,H$6,CA!$C$8:$AQ$8,TRUE)</f>
        <v>0</v>
      </c>
      <c r="I178" s="23" cm="1">
        <f t="array" aca="1" ref="I178" ca="1">SUMIFS(Quantity!$C179:$AH179,Quantity!$C$7:$AH$7,J$6,Quantity!$C$8:$AH$8,TRUE)</f>
        <v>0</v>
      </c>
      <c r="J178" s="25" cm="1">
        <f t="array" aca="1" ref="J178" ca="1">SUMIFS(CA!$C179:$AQ179,CA!$C$7:$AQ$7,J$6,CA!$C$8:$AQ$8,TRUE)</f>
        <v>0</v>
      </c>
      <c r="K178" s="26" t="str" cm="1">
        <f t="array" ref="K178">IF(SUM(Quantity!O179:Z179)=0,"",SUM(Quantity!O179:Z179))</f>
        <v/>
      </c>
      <c r="L178" s="24" t="str" cm="1">
        <f t="array" ref="L178">IF(SUM(CA!O179:Z179)=0,"",SUM(CA!O179:Z179))</f>
        <v/>
      </c>
      <c r="M178" s="23" t="str" cm="1">
        <f t="array" ref="M178">IF(SUM(Quantity!C179:N179)=0,"",SUM(Quantity!C179:N179))</f>
        <v/>
      </c>
      <c r="N178" s="25" t="str" cm="1">
        <f t="array" ref="N178">IF(SUM(CA!C179:N179)=0,"",SUM(CA!C179:N179))</f>
        <v/>
      </c>
    </row>
    <row r="179" spans="1:14" x14ac:dyDescent="0.25">
      <c r="A179" s="1"/>
      <c r="B179" s="22" cm="1">
        <f t="array" ref="B179">Quantity!B180</f>
        <v>0</v>
      </c>
      <c r="C179" s="23" cm="1">
        <f t="array" ref="C179">Quantity!O180</f>
        <v>0</v>
      </c>
      <c r="D179" s="24" cm="1">
        <f t="array" ref="D179">CA!O180</f>
        <v>0</v>
      </c>
      <c r="E179" s="23" cm="1">
        <f t="array" ref="E179">Quantity!C180</f>
        <v>0</v>
      </c>
      <c r="F179" s="25" cm="1">
        <f t="array" ref="F179">CA!C180</f>
        <v>0</v>
      </c>
      <c r="G179" s="26" cm="1">
        <f t="array" aca="1" ref="G179" ca="1">SUMIFS(Quantity!$C180:$AH180,Quantity!$C$7:$AH$7,H$6,Quantity!$C$8:$AH$8,TRUE)</f>
        <v>0</v>
      </c>
      <c r="H179" s="24" cm="1">
        <f t="array" aca="1" ref="H179" ca="1">SUMIFS(CA!$C180:$AQ180,CA!$C$7:$AQ$7,H$6,CA!$C$8:$AQ$8,TRUE)</f>
        <v>0</v>
      </c>
      <c r="I179" s="23" cm="1">
        <f t="array" aca="1" ref="I179" ca="1">SUMIFS(Quantity!$C180:$AH180,Quantity!$C$7:$AH$7,J$6,Quantity!$C$8:$AH$8,TRUE)</f>
        <v>0</v>
      </c>
      <c r="J179" s="25" cm="1">
        <f t="array" aca="1" ref="J179" ca="1">SUMIFS(CA!$C180:$AQ180,CA!$C$7:$AQ$7,J$6,CA!$C$8:$AQ$8,TRUE)</f>
        <v>0</v>
      </c>
      <c r="K179" s="26" t="str" cm="1">
        <f t="array" ref="K179">IF(SUM(Quantity!O180:Z180)=0,"",SUM(Quantity!O180:Z180))</f>
        <v/>
      </c>
      <c r="L179" s="24" t="str" cm="1">
        <f t="array" ref="L179">IF(SUM(CA!O180:Z180)=0,"",SUM(CA!O180:Z180))</f>
        <v/>
      </c>
      <c r="M179" s="23" t="str" cm="1">
        <f t="array" ref="M179">IF(SUM(Quantity!C180:N180)=0,"",SUM(Quantity!C180:N180))</f>
        <v/>
      </c>
      <c r="N179" s="25" t="str" cm="1">
        <f t="array" ref="N179">IF(SUM(CA!C180:N180)=0,"",SUM(CA!C180:N180))</f>
        <v/>
      </c>
    </row>
    <row r="180" spans="1:14" x14ac:dyDescent="0.25">
      <c r="A180" s="1"/>
      <c r="B180" s="22" cm="1">
        <f t="array" ref="B180">Quantity!B181</f>
        <v>0</v>
      </c>
      <c r="C180" s="23" cm="1">
        <f t="array" ref="C180">Quantity!O181</f>
        <v>0</v>
      </c>
      <c r="D180" s="24" cm="1">
        <f t="array" ref="D180">CA!O181</f>
        <v>0</v>
      </c>
      <c r="E180" s="23" cm="1">
        <f t="array" ref="E180">Quantity!C181</f>
        <v>0</v>
      </c>
      <c r="F180" s="25" cm="1">
        <f t="array" ref="F180">CA!C181</f>
        <v>0</v>
      </c>
      <c r="G180" s="26" cm="1">
        <f t="array" aca="1" ref="G180" ca="1">SUMIFS(Quantity!$C181:$AH181,Quantity!$C$7:$AH$7,H$6,Quantity!$C$8:$AH$8,TRUE)</f>
        <v>0</v>
      </c>
      <c r="H180" s="24" cm="1">
        <f t="array" aca="1" ref="H180" ca="1">SUMIFS(CA!$C181:$AQ181,CA!$C$7:$AQ$7,H$6,CA!$C$8:$AQ$8,TRUE)</f>
        <v>0</v>
      </c>
      <c r="I180" s="23" cm="1">
        <f t="array" aca="1" ref="I180" ca="1">SUMIFS(Quantity!$C181:$AH181,Quantity!$C$7:$AH$7,J$6,Quantity!$C$8:$AH$8,TRUE)</f>
        <v>0</v>
      </c>
      <c r="J180" s="25" cm="1">
        <f t="array" aca="1" ref="J180" ca="1">SUMIFS(CA!$C181:$AQ181,CA!$C$7:$AQ$7,J$6,CA!$C$8:$AQ$8,TRUE)</f>
        <v>0</v>
      </c>
      <c r="K180" s="26" t="str" cm="1">
        <f t="array" ref="K180">IF(SUM(Quantity!O181:Z181)=0,"",SUM(Quantity!O181:Z181))</f>
        <v/>
      </c>
      <c r="L180" s="24" t="str" cm="1">
        <f t="array" ref="L180">IF(SUM(CA!O181:Z181)=0,"",SUM(CA!O181:Z181))</f>
        <v/>
      </c>
      <c r="M180" s="23" t="str" cm="1">
        <f t="array" ref="M180">IF(SUM(Quantity!C181:N181)=0,"",SUM(Quantity!C181:N181))</f>
        <v/>
      </c>
      <c r="N180" s="25" t="str" cm="1">
        <f t="array" ref="N180">IF(SUM(CA!C181:N181)=0,"",SUM(CA!C181:N181))</f>
        <v/>
      </c>
    </row>
    <row r="181" spans="1:14" x14ac:dyDescent="0.25">
      <c r="A181" s="1"/>
      <c r="B181" s="22" cm="1">
        <f t="array" ref="B181">Quantity!B182</f>
        <v>0</v>
      </c>
      <c r="C181" s="23" cm="1">
        <f t="array" ref="C181">Quantity!O182</f>
        <v>0</v>
      </c>
      <c r="D181" s="24" cm="1">
        <f t="array" ref="D181">CA!O182</f>
        <v>0</v>
      </c>
      <c r="E181" s="23" cm="1">
        <f t="array" ref="E181">Quantity!C182</f>
        <v>0</v>
      </c>
      <c r="F181" s="25" cm="1">
        <f t="array" ref="F181">CA!C182</f>
        <v>0</v>
      </c>
      <c r="G181" s="26" cm="1">
        <f t="array" aca="1" ref="G181" ca="1">SUMIFS(Quantity!$C182:$AH182,Quantity!$C$7:$AH$7,H$6,Quantity!$C$8:$AH$8,TRUE)</f>
        <v>0</v>
      </c>
      <c r="H181" s="24" cm="1">
        <f t="array" aca="1" ref="H181" ca="1">SUMIFS(CA!$C182:$AQ182,CA!$C$7:$AQ$7,H$6,CA!$C$8:$AQ$8,TRUE)</f>
        <v>0</v>
      </c>
      <c r="I181" s="23" cm="1">
        <f t="array" aca="1" ref="I181" ca="1">SUMIFS(Quantity!$C182:$AH182,Quantity!$C$7:$AH$7,J$6,Quantity!$C$8:$AH$8,TRUE)</f>
        <v>0</v>
      </c>
      <c r="J181" s="25" cm="1">
        <f t="array" aca="1" ref="J181" ca="1">SUMIFS(CA!$C182:$AQ182,CA!$C$7:$AQ$7,J$6,CA!$C$8:$AQ$8,TRUE)</f>
        <v>0</v>
      </c>
      <c r="K181" s="26" t="str" cm="1">
        <f t="array" ref="K181">IF(SUM(Quantity!O182:Z182)=0,"",SUM(Quantity!O182:Z182))</f>
        <v/>
      </c>
      <c r="L181" s="24" t="str" cm="1">
        <f t="array" ref="L181">IF(SUM(CA!O182:Z182)=0,"",SUM(CA!O182:Z182))</f>
        <v/>
      </c>
      <c r="M181" s="23" t="str" cm="1">
        <f t="array" ref="M181">IF(SUM(Quantity!C182:N182)=0,"",SUM(Quantity!C182:N182))</f>
        <v/>
      </c>
      <c r="N181" s="25" t="str" cm="1">
        <f t="array" ref="N181">IF(SUM(CA!C182:N182)=0,"",SUM(CA!C182:N182))</f>
        <v/>
      </c>
    </row>
    <row r="182" spans="1:14" x14ac:dyDescent="0.25">
      <c r="A182" s="1"/>
      <c r="B182" s="22" cm="1">
        <f t="array" ref="B182">Quantity!B183</f>
        <v>0</v>
      </c>
      <c r="C182" s="23" cm="1">
        <f t="array" ref="C182">Quantity!O183</f>
        <v>0</v>
      </c>
      <c r="D182" s="24" cm="1">
        <f t="array" ref="D182">CA!O183</f>
        <v>0</v>
      </c>
      <c r="E182" s="23" cm="1">
        <f t="array" ref="E182">Quantity!C183</f>
        <v>0</v>
      </c>
      <c r="F182" s="25" cm="1">
        <f t="array" ref="F182">CA!C183</f>
        <v>0</v>
      </c>
      <c r="G182" s="26" cm="1">
        <f t="array" aca="1" ref="G182" ca="1">SUMIFS(Quantity!$C183:$AH183,Quantity!$C$7:$AH$7,H$6,Quantity!$C$8:$AH$8,TRUE)</f>
        <v>0</v>
      </c>
      <c r="H182" s="24" cm="1">
        <f t="array" aca="1" ref="H182" ca="1">SUMIFS(CA!$C183:$AQ183,CA!$C$7:$AQ$7,H$6,CA!$C$8:$AQ$8,TRUE)</f>
        <v>0</v>
      </c>
      <c r="I182" s="23" cm="1">
        <f t="array" aca="1" ref="I182" ca="1">SUMIFS(Quantity!$C183:$AH183,Quantity!$C$7:$AH$7,J$6,Quantity!$C$8:$AH$8,TRUE)</f>
        <v>0</v>
      </c>
      <c r="J182" s="25" cm="1">
        <f t="array" aca="1" ref="J182" ca="1">SUMIFS(CA!$C183:$AQ183,CA!$C$7:$AQ$7,J$6,CA!$C$8:$AQ$8,TRUE)</f>
        <v>0</v>
      </c>
      <c r="K182" s="26" t="str" cm="1">
        <f t="array" ref="K182">IF(SUM(Quantity!O183:Z183)=0,"",SUM(Quantity!O183:Z183))</f>
        <v/>
      </c>
      <c r="L182" s="24" t="str" cm="1">
        <f t="array" ref="L182">IF(SUM(CA!O183:Z183)=0,"",SUM(CA!O183:Z183))</f>
        <v/>
      </c>
      <c r="M182" s="23" t="str" cm="1">
        <f t="array" ref="M182">IF(SUM(Quantity!C183:N183)=0,"",SUM(Quantity!C183:N183))</f>
        <v/>
      </c>
      <c r="N182" s="25" t="str" cm="1">
        <f t="array" ref="N182">IF(SUM(CA!C183:N183)=0,"",SUM(CA!C183:N183))</f>
        <v/>
      </c>
    </row>
    <row r="183" spans="1:14" x14ac:dyDescent="0.25">
      <c r="A183" s="1"/>
      <c r="B183" s="22" cm="1">
        <f t="array" ref="B183">Quantity!B184</f>
        <v>0</v>
      </c>
      <c r="C183" s="23" cm="1">
        <f t="array" ref="C183">Quantity!O184</f>
        <v>0</v>
      </c>
      <c r="D183" s="24" cm="1">
        <f t="array" ref="D183">CA!O184</f>
        <v>0</v>
      </c>
      <c r="E183" s="23" cm="1">
        <f t="array" ref="E183">Quantity!C184</f>
        <v>0</v>
      </c>
      <c r="F183" s="25" cm="1">
        <f t="array" ref="F183">CA!C184</f>
        <v>0</v>
      </c>
      <c r="G183" s="26" cm="1">
        <f t="array" aca="1" ref="G183" ca="1">SUMIFS(Quantity!$C184:$AH184,Quantity!$C$7:$AH$7,H$6,Quantity!$C$8:$AH$8,TRUE)</f>
        <v>0</v>
      </c>
      <c r="H183" s="24" cm="1">
        <f t="array" aca="1" ref="H183" ca="1">SUMIFS(CA!$C184:$AQ184,CA!$C$7:$AQ$7,H$6,CA!$C$8:$AQ$8,TRUE)</f>
        <v>0</v>
      </c>
      <c r="I183" s="23" cm="1">
        <f t="array" aca="1" ref="I183" ca="1">SUMIFS(Quantity!$C184:$AH184,Quantity!$C$7:$AH$7,J$6,Quantity!$C$8:$AH$8,TRUE)</f>
        <v>0</v>
      </c>
      <c r="J183" s="25" cm="1">
        <f t="array" aca="1" ref="J183" ca="1">SUMIFS(CA!$C184:$AQ184,CA!$C$7:$AQ$7,J$6,CA!$C$8:$AQ$8,TRUE)</f>
        <v>0</v>
      </c>
      <c r="K183" s="26" t="str" cm="1">
        <f t="array" ref="K183">IF(SUM(Quantity!O184:Z184)=0,"",SUM(Quantity!O184:Z184))</f>
        <v/>
      </c>
      <c r="L183" s="24" t="str" cm="1">
        <f t="array" ref="L183">IF(SUM(CA!O184:Z184)=0,"",SUM(CA!O184:Z184))</f>
        <v/>
      </c>
      <c r="M183" s="23" t="str" cm="1">
        <f t="array" ref="M183">IF(SUM(Quantity!C184:N184)=0,"",SUM(Quantity!C184:N184))</f>
        <v/>
      </c>
      <c r="N183" s="25" t="str" cm="1">
        <f t="array" ref="N183">IF(SUM(CA!C184:N184)=0,"",SUM(CA!C184:N184))</f>
        <v/>
      </c>
    </row>
    <row r="184" spans="1:14" x14ac:dyDescent="0.25">
      <c r="A184" s="1"/>
      <c r="B184" s="22" cm="1">
        <f t="array" ref="B184">Quantity!B185</f>
        <v>0</v>
      </c>
      <c r="C184" s="23" cm="1">
        <f t="array" ref="C184">Quantity!O185</f>
        <v>0</v>
      </c>
      <c r="D184" s="24" cm="1">
        <f t="array" ref="D184">CA!O185</f>
        <v>0</v>
      </c>
      <c r="E184" s="23" cm="1">
        <f t="array" ref="E184">Quantity!C185</f>
        <v>0</v>
      </c>
      <c r="F184" s="25" cm="1">
        <f t="array" ref="F184">CA!C185</f>
        <v>0</v>
      </c>
      <c r="G184" s="26" cm="1">
        <f t="array" aca="1" ref="G184" ca="1">SUMIFS(Quantity!$C185:$AH185,Quantity!$C$7:$AH$7,H$6,Quantity!$C$8:$AH$8,TRUE)</f>
        <v>0</v>
      </c>
      <c r="H184" s="24" cm="1">
        <f t="array" aca="1" ref="H184" ca="1">SUMIFS(CA!$C185:$AQ185,CA!$C$7:$AQ$7,H$6,CA!$C$8:$AQ$8,TRUE)</f>
        <v>0</v>
      </c>
      <c r="I184" s="23" cm="1">
        <f t="array" aca="1" ref="I184" ca="1">SUMIFS(Quantity!$C185:$AH185,Quantity!$C$7:$AH$7,J$6,Quantity!$C$8:$AH$8,TRUE)</f>
        <v>0</v>
      </c>
      <c r="J184" s="25" cm="1">
        <f t="array" aca="1" ref="J184" ca="1">SUMIFS(CA!$C185:$AQ185,CA!$C$7:$AQ$7,J$6,CA!$C$8:$AQ$8,TRUE)</f>
        <v>0</v>
      </c>
      <c r="K184" s="26" t="str" cm="1">
        <f t="array" ref="K184">IF(SUM(Quantity!O185:Z185)=0,"",SUM(Quantity!O185:Z185))</f>
        <v/>
      </c>
      <c r="L184" s="24" t="str" cm="1">
        <f t="array" ref="L184">IF(SUM(CA!O185:Z185)=0,"",SUM(CA!O185:Z185))</f>
        <v/>
      </c>
      <c r="M184" s="23" t="str" cm="1">
        <f t="array" ref="M184">IF(SUM(Quantity!C185:N185)=0,"",SUM(Quantity!C185:N185))</f>
        <v/>
      </c>
      <c r="N184" s="25" t="str" cm="1">
        <f t="array" ref="N184">IF(SUM(CA!C185:N185)=0,"",SUM(CA!C185:N185))</f>
        <v/>
      </c>
    </row>
    <row r="185" spans="1:14" x14ac:dyDescent="0.25">
      <c r="A185" s="1"/>
      <c r="B185" s="22" cm="1">
        <f t="array" ref="B185">Quantity!B186</f>
        <v>0</v>
      </c>
      <c r="C185" s="23" cm="1">
        <f t="array" ref="C185">Quantity!O186</f>
        <v>0</v>
      </c>
      <c r="D185" s="24" cm="1">
        <f t="array" ref="D185">CA!O186</f>
        <v>0</v>
      </c>
      <c r="E185" s="23" cm="1">
        <f t="array" ref="E185">Quantity!C186</f>
        <v>0</v>
      </c>
      <c r="F185" s="25" cm="1">
        <f t="array" ref="F185">CA!C186</f>
        <v>0</v>
      </c>
      <c r="G185" s="26" cm="1">
        <f t="array" aca="1" ref="G185" ca="1">SUMIFS(Quantity!$C186:$AH186,Quantity!$C$7:$AH$7,H$6,Quantity!$C$8:$AH$8,TRUE)</f>
        <v>0</v>
      </c>
      <c r="H185" s="24" cm="1">
        <f t="array" aca="1" ref="H185" ca="1">SUMIFS(CA!$C186:$AQ186,CA!$C$7:$AQ$7,H$6,CA!$C$8:$AQ$8,TRUE)</f>
        <v>0</v>
      </c>
      <c r="I185" s="23" cm="1">
        <f t="array" aca="1" ref="I185" ca="1">SUMIFS(Quantity!$C186:$AH186,Quantity!$C$7:$AH$7,J$6,Quantity!$C$8:$AH$8,TRUE)</f>
        <v>0</v>
      </c>
      <c r="J185" s="25" cm="1">
        <f t="array" aca="1" ref="J185" ca="1">SUMIFS(CA!$C186:$AQ186,CA!$C$7:$AQ$7,J$6,CA!$C$8:$AQ$8,TRUE)</f>
        <v>0</v>
      </c>
      <c r="K185" s="26" t="str" cm="1">
        <f t="array" ref="K185">IF(SUM(Quantity!O186:Z186)=0,"",SUM(Quantity!O186:Z186))</f>
        <v/>
      </c>
      <c r="L185" s="24" t="str" cm="1">
        <f t="array" ref="L185">IF(SUM(CA!O186:Z186)=0,"",SUM(CA!O186:Z186))</f>
        <v/>
      </c>
      <c r="M185" s="23" t="str" cm="1">
        <f t="array" ref="M185">IF(SUM(Quantity!C186:N186)=0,"",SUM(Quantity!C186:N186))</f>
        <v/>
      </c>
      <c r="N185" s="25" t="str" cm="1">
        <f t="array" ref="N185">IF(SUM(CA!C186:N186)=0,"",SUM(CA!C186:N186))</f>
        <v/>
      </c>
    </row>
    <row r="186" spans="1:14" x14ac:dyDescent="0.25">
      <c r="A186" s="1"/>
      <c r="B186" s="22" cm="1">
        <f t="array" ref="B186">Quantity!B187</f>
        <v>0</v>
      </c>
      <c r="C186" s="23" cm="1">
        <f t="array" ref="C186">Quantity!O187</f>
        <v>0</v>
      </c>
      <c r="D186" s="24" cm="1">
        <f t="array" ref="D186">CA!O187</f>
        <v>0</v>
      </c>
      <c r="E186" s="23" cm="1">
        <f t="array" ref="E186">Quantity!C187</f>
        <v>0</v>
      </c>
      <c r="F186" s="25" cm="1">
        <f t="array" ref="F186">CA!C187</f>
        <v>0</v>
      </c>
      <c r="G186" s="26" cm="1">
        <f t="array" aca="1" ref="G186" ca="1">SUMIFS(Quantity!$C187:$AH187,Quantity!$C$7:$AH$7,H$6,Quantity!$C$8:$AH$8,TRUE)</f>
        <v>0</v>
      </c>
      <c r="H186" s="24" cm="1">
        <f t="array" aca="1" ref="H186" ca="1">SUMIFS(CA!$C187:$AQ187,CA!$C$7:$AQ$7,H$6,CA!$C$8:$AQ$8,TRUE)</f>
        <v>0</v>
      </c>
      <c r="I186" s="23" cm="1">
        <f t="array" aca="1" ref="I186" ca="1">SUMIFS(Quantity!$C187:$AH187,Quantity!$C$7:$AH$7,J$6,Quantity!$C$8:$AH$8,TRUE)</f>
        <v>0</v>
      </c>
      <c r="J186" s="25" cm="1">
        <f t="array" aca="1" ref="J186" ca="1">SUMIFS(CA!$C187:$AQ187,CA!$C$7:$AQ$7,J$6,CA!$C$8:$AQ$8,TRUE)</f>
        <v>0</v>
      </c>
      <c r="K186" s="26" t="str" cm="1">
        <f t="array" ref="K186">IF(SUM(Quantity!O187:Z187)=0,"",SUM(Quantity!O187:Z187))</f>
        <v/>
      </c>
      <c r="L186" s="24" t="str" cm="1">
        <f t="array" ref="L186">IF(SUM(CA!O187:Z187)=0,"",SUM(CA!O187:Z187))</f>
        <v/>
      </c>
      <c r="M186" s="23" t="str" cm="1">
        <f t="array" ref="M186">IF(SUM(Quantity!C187:N187)=0,"",SUM(Quantity!C187:N187))</f>
        <v/>
      </c>
      <c r="N186" s="25" t="str" cm="1">
        <f t="array" ref="N186">IF(SUM(CA!C187:N187)=0,"",SUM(CA!C187:N187))</f>
        <v/>
      </c>
    </row>
    <row r="187" spans="1:14" x14ac:dyDescent="0.25">
      <c r="A187" s="1"/>
      <c r="B187" s="22" cm="1">
        <f t="array" ref="B187">Quantity!B188</f>
        <v>0</v>
      </c>
      <c r="C187" s="23" cm="1">
        <f t="array" ref="C187">Quantity!O188</f>
        <v>0</v>
      </c>
      <c r="D187" s="24" cm="1">
        <f t="array" ref="D187">CA!O188</f>
        <v>0</v>
      </c>
      <c r="E187" s="23" cm="1">
        <f t="array" ref="E187">Quantity!C188</f>
        <v>0</v>
      </c>
      <c r="F187" s="25" cm="1">
        <f t="array" ref="F187">CA!C188</f>
        <v>0</v>
      </c>
      <c r="G187" s="26" cm="1">
        <f t="array" aca="1" ref="G187" ca="1">SUMIFS(Quantity!$C188:$AH188,Quantity!$C$7:$AH$7,H$6,Quantity!$C$8:$AH$8,TRUE)</f>
        <v>0</v>
      </c>
      <c r="H187" s="24" cm="1">
        <f t="array" aca="1" ref="H187" ca="1">SUMIFS(CA!$C188:$AQ188,CA!$C$7:$AQ$7,H$6,CA!$C$8:$AQ$8,TRUE)</f>
        <v>0</v>
      </c>
      <c r="I187" s="23" cm="1">
        <f t="array" aca="1" ref="I187" ca="1">SUMIFS(Quantity!$C188:$AH188,Quantity!$C$7:$AH$7,J$6,Quantity!$C$8:$AH$8,TRUE)</f>
        <v>0</v>
      </c>
      <c r="J187" s="25" cm="1">
        <f t="array" aca="1" ref="J187" ca="1">SUMIFS(CA!$C188:$AQ188,CA!$C$7:$AQ$7,J$6,CA!$C$8:$AQ$8,TRUE)</f>
        <v>0</v>
      </c>
      <c r="K187" s="26" t="str" cm="1">
        <f t="array" ref="K187">IF(SUM(Quantity!O188:Z188)=0,"",SUM(Quantity!O188:Z188))</f>
        <v/>
      </c>
      <c r="L187" s="24" t="str" cm="1">
        <f t="array" ref="L187">IF(SUM(CA!O188:Z188)=0,"",SUM(CA!O188:Z188))</f>
        <v/>
      </c>
      <c r="M187" s="23" t="str" cm="1">
        <f t="array" ref="M187">IF(SUM(Quantity!C188:N188)=0,"",SUM(Quantity!C188:N188))</f>
        <v/>
      </c>
      <c r="N187" s="25" t="str" cm="1">
        <f t="array" ref="N187">IF(SUM(CA!C188:N188)=0,"",SUM(CA!C188:N188))</f>
        <v/>
      </c>
    </row>
    <row r="188" spans="1:14" x14ac:dyDescent="0.25">
      <c r="A188" s="1"/>
      <c r="B188" s="22" cm="1">
        <f t="array" ref="B188">Quantity!B189</f>
        <v>0</v>
      </c>
      <c r="C188" s="23" cm="1">
        <f t="array" ref="C188">Quantity!O189</f>
        <v>0</v>
      </c>
      <c r="D188" s="24" cm="1">
        <f t="array" ref="D188">CA!O189</f>
        <v>0</v>
      </c>
      <c r="E188" s="23" cm="1">
        <f t="array" ref="E188">Quantity!C189</f>
        <v>0</v>
      </c>
      <c r="F188" s="25" cm="1">
        <f t="array" ref="F188">CA!C189</f>
        <v>0</v>
      </c>
      <c r="G188" s="26" cm="1">
        <f t="array" aca="1" ref="G188" ca="1">SUMIFS(Quantity!$C189:$AH189,Quantity!$C$7:$AH$7,H$6,Quantity!$C$8:$AH$8,TRUE)</f>
        <v>0</v>
      </c>
      <c r="H188" s="24" cm="1">
        <f t="array" aca="1" ref="H188" ca="1">SUMIFS(CA!$C189:$AQ189,CA!$C$7:$AQ$7,H$6,CA!$C$8:$AQ$8,TRUE)</f>
        <v>0</v>
      </c>
      <c r="I188" s="23" cm="1">
        <f t="array" aca="1" ref="I188" ca="1">SUMIFS(Quantity!$C189:$AH189,Quantity!$C$7:$AH$7,J$6,Quantity!$C$8:$AH$8,TRUE)</f>
        <v>0</v>
      </c>
      <c r="J188" s="25" cm="1">
        <f t="array" aca="1" ref="J188" ca="1">SUMIFS(CA!$C189:$AQ189,CA!$C$7:$AQ$7,J$6,CA!$C$8:$AQ$8,TRUE)</f>
        <v>0</v>
      </c>
      <c r="K188" s="26" t="str" cm="1">
        <f t="array" ref="K188">IF(SUM(Quantity!O189:Z189)=0,"",SUM(Quantity!O189:Z189))</f>
        <v/>
      </c>
      <c r="L188" s="24" t="str" cm="1">
        <f t="array" ref="L188">IF(SUM(CA!O189:Z189)=0,"",SUM(CA!O189:Z189))</f>
        <v/>
      </c>
      <c r="M188" s="23" t="str" cm="1">
        <f t="array" ref="M188">IF(SUM(Quantity!C189:N189)=0,"",SUM(Quantity!C189:N189))</f>
        <v/>
      </c>
      <c r="N188" s="25" t="str" cm="1">
        <f t="array" ref="N188">IF(SUM(CA!C189:N189)=0,"",SUM(CA!C189:N189))</f>
        <v/>
      </c>
    </row>
    <row r="189" spans="1:14" x14ac:dyDescent="0.25">
      <c r="A189" s="1"/>
      <c r="B189" s="22" cm="1">
        <f t="array" ref="B189">Quantity!B190</f>
        <v>0</v>
      </c>
      <c r="C189" s="23" cm="1">
        <f t="array" ref="C189">Quantity!O190</f>
        <v>0</v>
      </c>
      <c r="D189" s="24" cm="1">
        <f t="array" ref="D189">CA!O190</f>
        <v>0</v>
      </c>
      <c r="E189" s="23" cm="1">
        <f t="array" ref="E189">Quantity!C190</f>
        <v>0</v>
      </c>
      <c r="F189" s="25" cm="1">
        <f t="array" ref="F189">CA!C190</f>
        <v>0</v>
      </c>
      <c r="G189" s="26" cm="1">
        <f t="array" aca="1" ref="G189" ca="1">SUMIFS(Quantity!$C190:$AH190,Quantity!$C$7:$AH$7,H$6,Quantity!$C$8:$AH$8,TRUE)</f>
        <v>0</v>
      </c>
      <c r="H189" s="24" cm="1">
        <f t="array" aca="1" ref="H189" ca="1">SUMIFS(CA!$C190:$AQ190,CA!$C$7:$AQ$7,H$6,CA!$C$8:$AQ$8,TRUE)</f>
        <v>0</v>
      </c>
      <c r="I189" s="23" cm="1">
        <f t="array" aca="1" ref="I189" ca="1">SUMIFS(Quantity!$C190:$AH190,Quantity!$C$7:$AH$7,J$6,Quantity!$C$8:$AH$8,TRUE)</f>
        <v>0</v>
      </c>
      <c r="J189" s="25" cm="1">
        <f t="array" aca="1" ref="J189" ca="1">SUMIFS(CA!$C190:$AQ190,CA!$C$7:$AQ$7,J$6,CA!$C$8:$AQ$8,TRUE)</f>
        <v>0</v>
      </c>
      <c r="K189" s="26" t="str" cm="1">
        <f t="array" ref="K189">IF(SUM(Quantity!O190:Z190)=0,"",SUM(Quantity!O190:Z190))</f>
        <v/>
      </c>
      <c r="L189" s="24" t="str" cm="1">
        <f t="array" ref="L189">IF(SUM(CA!O190:Z190)=0,"",SUM(CA!O190:Z190))</f>
        <v/>
      </c>
      <c r="M189" s="23" t="str" cm="1">
        <f t="array" ref="M189">IF(SUM(Quantity!C190:N190)=0,"",SUM(Quantity!C190:N190))</f>
        <v/>
      </c>
      <c r="N189" s="25" t="str" cm="1">
        <f t="array" ref="N189">IF(SUM(CA!C190:N190)=0,"",SUM(CA!C190:N190))</f>
        <v/>
      </c>
    </row>
    <row r="190" spans="1:14" x14ac:dyDescent="0.25">
      <c r="A190" s="1"/>
      <c r="B190" s="22" cm="1">
        <f t="array" ref="B190">Quantity!B191</f>
        <v>0</v>
      </c>
      <c r="C190" s="23" cm="1">
        <f t="array" ref="C190">Quantity!O191</f>
        <v>0</v>
      </c>
      <c r="D190" s="24" cm="1">
        <f t="array" ref="D190">CA!O191</f>
        <v>0</v>
      </c>
      <c r="E190" s="23" cm="1">
        <f t="array" ref="E190">Quantity!C191</f>
        <v>0</v>
      </c>
      <c r="F190" s="25" cm="1">
        <f t="array" ref="F190">CA!C191</f>
        <v>0</v>
      </c>
      <c r="G190" s="26" cm="1">
        <f t="array" aca="1" ref="G190" ca="1">SUMIFS(Quantity!$C191:$AH191,Quantity!$C$7:$AH$7,H$6,Quantity!$C$8:$AH$8,TRUE)</f>
        <v>0</v>
      </c>
      <c r="H190" s="24" cm="1">
        <f t="array" aca="1" ref="H190" ca="1">SUMIFS(CA!$C191:$AQ191,CA!$C$7:$AQ$7,H$6,CA!$C$8:$AQ$8,TRUE)</f>
        <v>0</v>
      </c>
      <c r="I190" s="23" cm="1">
        <f t="array" aca="1" ref="I190" ca="1">SUMIFS(Quantity!$C191:$AH191,Quantity!$C$7:$AH$7,J$6,Quantity!$C$8:$AH$8,TRUE)</f>
        <v>0</v>
      </c>
      <c r="J190" s="25" cm="1">
        <f t="array" aca="1" ref="J190" ca="1">SUMIFS(CA!$C191:$AQ191,CA!$C$7:$AQ$7,J$6,CA!$C$8:$AQ$8,TRUE)</f>
        <v>0</v>
      </c>
      <c r="K190" s="26" t="str" cm="1">
        <f t="array" ref="K190">IF(SUM(Quantity!O191:Z191)=0,"",SUM(Quantity!O191:Z191))</f>
        <v/>
      </c>
      <c r="L190" s="24" t="str" cm="1">
        <f t="array" ref="L190">IF(SUM(CA!O191:Z191)=0,"",SUM(CA!O191:Z191))</f>
        <v/>
      </c>
      <c r="M190" s="23" t="str" cm="1">
        <f t="array" ref="M190">IF(SUM(Quantity!C191:N191)=0,"",SUM(Quantity!C191:N191))</f>
        <v/>
      </c>
      <c r="N190" s="25" t="str" cm="1">
        <f t="array" ref="N190">IF(SUM(CA!C191:N191)=0,"",SUM(CA!C191:N191))</f>
        <v/>
      </c>
    </row>
    <row r="191" spans="1:14" x14ac:dyDescent="0.25">
      <c r="A191" s="1"/>
      <c r="B191" s="22" cm="1">
        <f t="array" ref="B191">Quantity!B192</f>
        <v>0</v>
      </c>
      <c r="C191" s="23" cm="1">
        <f t="array" ref="C191">Quantity!O192</f>
        <v>0</v>
      </c>
      <c r="D191" s="24" cm="1">
        <f t="array" ref="D191">CA!O192</f>
        <v>0</v>
      </c>
      <c r="E191" s="23" cm="1">
        <f t="array" ref="E191">Quantity!C192</f>
        <v>0</v>
      </c>
      <c r="F191" s="25" cm="1">
        <f t="array" ref="F191">CA!C192</f>
        <v>0</v>
      </c>
      <c r="G191" s="26" cm="1">
        <f t="array" aca="1" ref="G191" ca="1">SUMIFS(Quantity!$C192:$AH192,Quantity!$C$7:$AH$7,H$6,Quantity!$C$8:$AH$8,TRUE)</f>
        <v>0</v>
      </c>
      <c r="H191" s="24" cm="1">
        <f t="array" aca="1" ref="H191" ca="1">SUMIFS(CA!$C192:$AQ192,CA!$C$7:$AQ$7,H$6,CA!$C$8:$AQ$8,TRUE)</f>
        <v>0</v>
      </c>
      <c r="I191" s="23" cm="1">
        <f t="array" aca="1" ref="I191" ca="1">SUMIFS(Quantity!$C192:$AH192,Quantity!$C$7:$AH$7,J$6,Quantity!$C$8:$AH$8,TRUE)</f>
        <v>0</v>
      </c>
      <c r="J191" s="25" cm="1">
        <f t="array" aca="1" ref="J191" ca="1">SUMIFS(CA!$C192:$AQ192,CA!$C$7:$AQ$7,J$6,CA!$C$8:$AQ$8,TRUE)</f>
        <v>0</v>
      </c>
      <c r="K191" s="26" t="str" cm="1">
        <f t="array" ref="K191">IF(SUM(Quantity!O192:Z192)=0,"",SUM(Quantity!O192:Z192))</f>
        <v/>
      </c>
      <c r="L191" s="24" t="str" cm="1">
        <f t="array" ref="L191">IF(SUM(CA!O192:Z192)=0,"",SUM(CA!O192:Z192))</f>
        <v/>
      </c>
      <c r="M191" s="23" t="str" cm="1">
        <f t="array" ref="M191">IF(SUM(Quantity!C192:N192)=0,"",SUM(Quantity!C192:N192))</f>
        <v/>
      </c>
      <c r="N191" s="25" t="str" cm="1">
        <f t="array" ref="N191">IF(SUM(CA!C192:N192)=0,"",SUM(CA!C192:N192))</f>
        <v/>
      </c>
    </row>
    <row r="192" spans="1:14" x14ac:dyDescent="0.25">
      <c r="A192" s="1"/>
      <c r="B192" s="22" cm="1">
        <f t="array" ref="B192">Quantity!B193</f>
        <v>0</v>
      </c>
      <c r="C192" s="23" cm="1">
        <f t="array" ref="C192">Quantity!O193</f>
        <v>0</v>
      </c>
      <c r="D192" s="24" cm="1">
        <f t="array" ref="D192">CA!O193</f>
        <v>0</v>
      </c>
      <c r="E192" s="23" cm="1">
        <f t="array" ref="E192">Quantity!C193</f>
        <v>0</v>
      </c>
      <c r="F192" s="25" cm="1">
        <f t="array" ref="F192">CA!C193</f>
        <v>0</v>
      </c>
      <c r="G192" s="26" cm="1">
        <f t="array" aca="1" ref="G192" ca="1">SUMIFS(Quantity!$C193:$AH193,Quantity!$C$7:$AH$7,H$6,Quantity!$C$8:$AH$8,TRUE)</f>
        <v>0</v>
      </c>
      <c r="H192" s="24" cm="1">
        <f t="array" aca="1" ref="H192" ca="1">SUMIFS(CA!$C193:$AQ193,CA!$C$7:$AQ$7,H$6,CA!$C$8:$AQ$8,TRUE)</f>
        <v>0</v>
      </c>
      <c r="I192" s="23" cm="1">
        <f t="array" aca="1" ref="I192" ca="1">SUMIFS(Quantity!$C193:$AH193,Quantity!$C$7:$AH$7,J$6,Quantity!$C$8:$AH$8,TRUE)</f>
        <v>0</v>
      </c>
      <c r="J192" s="25" cm="1">
        <f t="array" aca="1" ref="J192" ca="1">SUMIFS(CA!$C193:$AQ193,CA!$C$7:$AQ$7,J$6,CA!$C$8:$AQ$8,TRUE)</f>
        <v>0</v>
      </c>
      <c r="K192" s="26" t="str" cm="1">
        <f t="array" ref="K192">IF(SUM(Quantity!O193:Z193)=0,"",SUM(Quantity!O193:Z193))</f>
        <v/>
      </c>
      <c r="L192" s="24" t="str" cm="1">
        <f t="array" ref="L192">IF(SUM(CA!O193:Z193)=0,"",SUM(CA!O193:Z193))</f>
        <v/>
      </c>
      <c r="M192" s="23" t="str" cm="1">
        <f t="array" ref="M192">IF(SUM(Quantity!C193:N193)=0,"",SUM(Quantity!C193:N193))</f>
        <v/>
      </c>
      <c r="N192" s="25" t="str" cm="1">
        <f t="array" ref="N192">IF(SUM(CA!C193:N193)=0,"",SUM(CA!C193:N193))</f>
        <v/>
      </c>
    </row>
    <row r="193" spans="1:14" x14ac:dyDescent="0.25">
      <c r="A193" s="1"/>
      <c r="B193" s="22" cm="1">
        <f t="array" ref="B193">Quantity!B194</f>
        <v>0</v>
      </c>
      <c r="C193" s="23" cm="1">
        <f t="array" ref="C193">Quantity!O194</f>
        <v>0</v>
      </c>
      <c r="D193" s="24" cm="1">
        <f t="array" ref="D193">CA!O194</f>
        <v>0</v>
      </c>
      <c r="E193" s="23" cm="1">
        <f t="array" ref="E193">Quantity!C194</f>
        <v>0</v>
      </c>
      <c r="F193" s="25" cm="1">
        <f t="array" ref="F193">CA!C194</f>
        <v>0</v>
      </c>
      <c r="G193" s="26" cm="1">
        <f t="array" aca="1" ref="G193" ca="1">SUMIFS(Quantity!$C194:$AH194,Quantity!$C$7:$AH$7,H$6,Quantity!$C$8:$AH$8,TRUE)</f>
        <v>0</v>
      </c>
      <c r="H193" s="24" cm="1">
        <f t="array" aca="1" ref="H193" ca="1">SUMIFS(CA!$C194:$AQ194,CA!$C$7:$AQ$7,H$6,CA!$C$8:$AQ$8,TRUE)</f>
        <v>0</v>
      </c>
      <c r="I193" s="23" cm="1">
        <f t="array" aca="1" ref="I193" ca="1">SUMIFS(Quantity!$C194:$AH194,Quantity!$C$7:$AH$7,J$6,Quantity!$C$8:$AH$8,TRUE)</f>
        <v>0</v>
      </c>
      <c r="J193" s="25" cm="1">
        <f t="array" aca="1" ref="J193" ca="1">SUMIFS(CA!$C194:$AQ194,CA!$C$7:$AQ$7,J$6,CA!$C$8:$AQ$8,TRUE)</f>
        <v>0</v>
      </c>
      <c r="K193" s="26" t="str" cm="1">
        <f t="array" ref="K193">IF(SUM(Quantity!O194:Z194)=0,"",SUM(Quantity!O194:Z194))</f>
        <v/>
      </c>
      <c r="L193" s="24" t="str" cm="1">
        <f t="array" ref="L193">IF(SUM(CA!O194:Z194)=0,"",SUM(CA!O194:Z194))</f>
        <v/>
      </c>
      <c r="M193" s="23" t="str" cm="1">
        <f t="array" ref="M193">IF(SUM(Quantity!C194:N194)=0,"",SUM(Quantity!C194:N194))</f>
        <v/>
      </c>
      <c r="N193" s="25" t="str" cm="1">
        <f t="array" ref="N193">IF(SUM(CA!C194:N194)=0,"",SUM(CA!C194:N194))</f>
        <v/>
      </c>
    </row>
    <row r="194" spans="1:14" x14ac:dyDescent="0.25">
      <c r="A194" s="1"/>
      <c r="B194" s="22" cm="1">
        <f t="array" ref="B194">Quantity!B195</f>
        <v>0</v>
      </c>
      <c r="C194" s="23" cm="1">
        <f t="array" ref="C194">Quantity!O195</f>
        <v>0</v>
      </c>
      <c r="D194" s="24" cm="1">
        <f t="array" ref="D194">CA!O195</f>
        <v>0</v>
      </c>
      <c r="E194" s="23" cm="1">
        <f t="array" ref="E194">Quantity!C195</f>
        <v>0</v>
      </c>
      <c r="F194" s="25" cm="1">
        <f t="array" ref="F194">CA!C195</f>
        <v>0</v>
      </c>
      <c r="G194" s="26" cm="1">
        <f t="array" aca="1" ref="G194" ca="1">SUMIFS(Quantity!$C195:$AH195,Quantity!$C$7:$AH$7,H$6,Quantity!$C$8:$AH$8,TRUE)</f>
        <v>0</v>
      </c>
      <c r="H194" s="24" cm="1">
        <f t="array" aca="1" ref="H194" ca="1">SUMIFS(CA!$C195:$AQ195,CA!$C$7:$AQ$7,H$6,CA!$C$8:$AQ$8,TRUE)</f>
        <v>0</v>
      </c>
      <c r="I194" s="23" cm="1">
        <f t="array" aca="1" ref="I194" ca="1">SUMIFS(Quantity!$C195:$AH195,Quantity!$C$7:$AH$7,J$6,Quantity!$C$8:$AH$8,TRUE)</f>
        <v>0</v>
      </c>
      <c r="J194" s="25" cm="1">
        <f t="array" aca="1" ref="J194" ca="1">SUMIFS(CA!$C195:$AQ195,CA!$C$7:$AQ$7,J$6,CA!$C$8:$AQ$8,TRUE)</f>
        <v>0</v>
      </c>
      <c r="K194" s="26" t="str" cm="1">
        <f t="array" ref="K194">IF(SUM(Quantity!O195:Z195)=0,"",SUM(Quantity!O195:Z195))</f>
        <v/>
      </c>
      <c r="L194" s="24" t="str" cm="1">
        <f t="array" ref="L194">IF(SUM(CA!O195:Z195)=0,"",SUM(CA!O195:Z195))</f>
        <v/>
      </c>
      <c r="M194" s="23" t="str" cm="1">
        <f t="array" ref="M194">IF(SUM(Quantity!C195:N195)=0,"",SUM(Quantity!C195:N195))</f>
        <v/>
      </c>
      <c r="N194" s="25" t="str" cm="1">
        <f t="array" ref="N194">IF(SUM(CA!C195:N195)=0,"",SUM(CA!C195:N195))</f>
        <v/>
      </c>
    </row>
    <row r="195" spans="1:14" x14ac:dyDescent="0.25">
      <c r="A195" s="1"/>
      <c r="B195" s="22" cm="1">
        <f t="array" ref="B195">Quantity!B196</f>
        <v>0</v>
      </c>
      <c r="C195" s="23" cm="1">
        <f t="array" ref="C195">Quantity!O196</f>
        <v>0</v>
      </c>
      <c r="D195" s="24" cm="1">
        <f t="array" ref="D195">CA!O196</f>
        <v>0</v>
      </c>
      <c r="E195" s="23" cm="1">
        <f t="array" ref="E195">Quantity!C196</f>
        <v>0</v>
      </c>
      <c r="F195" s="25" cm="1">
        <f t="array" ref="F195">CA!C196</f>
        <v>0</v>
      </c>
      <c r="G195" s="26" cm="1">
        <f t="array" aca="1" ref="G195" ca="1">SUMIFS(Quantity!$C196:$AH196,Quantity!$C$7:$AH$7,H$6,Quantity!$C$8:$AH$8,TRUE)</f>
        <v>0</v>
      </c>
      <c r="H195" s="24" cm="1">
        <f t="array" aca="1" ref="H195" ca="1">SUMIFS(CA!$C196:$AQ196,CA!$C$7:$AQ$7,H$6,CA!$C$8:$AQ$8,TRUE)</f>
        <v>0</v>
      </c>
      <c r="I195" s="23" cm="1">
        <f t="array" aca="1" ref="I195" ca="1">SUMIFS(Quantity!$C196:$AH196,Quantity!$C$7:$AH$7,J$6,Quantity!$C$8:$AH$8,TRUE)</f>
        <v>0</v>
      </c>
      <c r="J195" s="25" cm="1">
        <f t="array" aca="1" ref="J195" ca="1">SUMIFS(CA!$C196:$AQ196,CA!$C$7:$AQ$7,J$6,CA!$C$8:$AQ$8,TRUE)</f>
        <v>0</v>
      </c>
      <c r="K195" s="26" t="str" cm="1">
        <f t="array" ref="K195">IF(SUM(Quantity!O196:Z196)=0,"",SUM(Quantity!O196:Z196))</f>
        <v/>
      </c>
      <c r="L195" s="24" t="str" cm="1">
        <f t="array" ref="L195">IF(SUM(CA!O196:Z196)=0,"",SUM(CA!O196:Z196))</f>
        <v/>
      </c>
      <c r="M195" s="23" t="str" cm="1">
        <f t="array" ref="M195">IF(SUM(Quantity!C196:N196)=0,"",SUM(Quantity!C196:N196))</f>
        <v/>
      </c>
      <c r="N195" s="25" t="str" cm="1">
        <f t="array" ref="N195">IF(SUM(CA!C196:N196)=0,"",SUM(CA!C196:N196))</f>
        <v/>
      </c>
    </row>
    <row r="196" spans="1:14" x14ac:dyDescent="0.25">
      <c r="A196" s="1"/>
      <c r="B196" s="22" cm="1">
        <f t="array" ref="B196">Quantity!B197</f>
        <v>0</v>
      </c>
      <c r="C196" s="23" cm="1">
        <f t="array" ref="C196">Quantity!O197</f>
        <v>0</v>
      </c>
      <c r="D196" s="24" cm="1">
        <f t="array" ref="D196">CA!O197</f>
        <v>0</v>
      </c>
      <c r="E196" s="23" cm="1">
        <f t="array" ref="E196">Quantity!C197</f>
        <v>0</v>
      </c>
      <c r="F196" s="25" cm="1">
        <f t="array" ref="F196">CA!C197</f>
        <v>0</v>
      </c>
      <c r="G196" s="26" cm="1">
        <f t="array" aca="1" ref="G196" ca="1">SUMIFS(Quantity!$C197:$AH197,Quantity!$C$7:$AH$7,H$6,Quantity!$C$8:$AH$8,TRUE)</f>
        <v>0</v>
      </c>
      <c r="H196" s="24" cm="1">
        <f t="array" aca="1" ref="H196" ca="1">SUMIFS(CA!$C197:$AQ197,CA!$C$7:$AQ$7,H$6,CA!$C$8:$AQ$8,TRUE)</f>
        <v>0</v>
      </c>
      <c r="I196" s="23" cm="1">
        <f t="array" aca="1" ref="I196" ca="1">SUMIFS(Quantity!$C197:$AH197,Quantity!$C$7:$AH$7,J$6,Quantity!$C$8:$AH$8,TRUE)</f>
        <v>0</v>
      </c>
      <c r="J196" s="25" cm="1">
        <f t="array" aca="1" ref="J196" ca="1">SUMIFS(CA!$C197:$AQ197,CA!$C$7:$AQ$7,J$6,CA!$C$8:$AQ$8,TRUE)</f>
        <v>0</v>
      </c>
      <c r="K196" s="26" t="str" cm="1">
        <f t="array" ref="K196">IF(SUM(Quantity!O197:Z197)=0,"",SUM(Quantity!O197:Z197))</f>
        <v/>
      </c>
      <c r="L196" s="24" t="str" cm="1">
        <f t="array" ref="L196">IF(SUM(CA!O197:Z197)=0,"",SUM(CA!O197:Z197))</f>
        <v/>
      </c>
      <c r="M196" s="23" t="str" cm="1">
        <f t="array" ref="M196">IF(SUM(Quantity!C197:N197)=0,"",SUM(Quantity!C197:N197))</f>
        <v/>
      </c>
      <c r="N196" s="25" t="str" cm="1">
        <f t="array" ref="N196">IF(SUM(CA!C197:N197)=0,"",SUM(CA!C197:N197))</f>
        <v/>
      </c>
    </row>
    <row r="197" spans="1:14" x14ac:dyDescent="0.25">
      <c r="A197" s="1"/>
      <c r="B197" s="22" cm="1">
        <f t="array" ref="B197">Quantity!B198</f>
        <v>0</v>
      </c>
      <c r="C197" s="23" cm="1">
        <f t="array" ref="C197">Quantity!O198</f>
        <v>0</v>
      </c>
      <c r="D197" s="24" cm="1">
        <f t="array" ref="D197">CA!O198</f>
        <v>0</v>
      </c>
      <c r="E197" s="23" cm="1">
        <f t="array" ref="E197">Quantity!C198</f>
        <v>0</v>
      </c>
      <c r="F197" s="25" cm="1">
        <f t="array" ref="F197">CA!C198</f>
        <v>0</v>
      </c>
      <c r="G197" s="26" cm="1">
        <f t="array" aca="1" ref="G197" ca="1">SUMIFS(Quantity!$C198:$AH198,Quantity!$C$7:$AH$7,H$6,Quantity!$C$8:$AH$8,TRUE)</f>
        <v>0</v>
      </c>
      <c r="H197" s="24" cm="1">
        <f t="array" aca="1" ref="H197" ca="1">SUMIFS(CA!$C198:$AQ198,CA!$C$7:$AQ$7,H$6,CA!$C$8:$AQ$8,TRUE)</f>
        <v>0</v>
      </c>
      <c r="I197" s="23" cm="1">
        <f t="array" aca="1" ref="I197" ca="1">SUMIFS(Quantity!$C198:$AH198,Quantity!$C$7:$AH$7,J$6,Quantity!$C$8:$AH$8,TRUE)</f>
        <v>0</v>
      </c>
      <c r="J197" s="25" cm="1">
        <f t="array" aca="1" ref="J197" ca="1">SUMIFS(CA!$C198:$AQ198,CA!$C$7:$AQ$7,J$6,CA!$C$8:$AQ$8,TRUE)</f>
        <v>0</v>
      </c>
      <c r="K197" s="26" t="str" cm="1">
        <f t="array" ref="K197">IF(SUM(Quantity!O198:Z198)=0,"",SUM(Quantity!O198:Z198))</f>
        <v/>
      </c>
      <c r="L197" s="24" t="str" cm="1">
        <f t="array" ref="L197">IF(SUM(CA!O198:Z198)=0,"",SUM(CA!O198:Z198))</f>
        <v/>
      </c>
      <c r="M197" s="23" t="str" cm="1">
        <f t="array" ref="M197">IF(SUM(Quantity!C198:N198)=0,"",SUM(Quantity!C198:N198))</f>
        <v/>
      </c>
      <c r="N197" s="25" t="str" cm="1">
        <f t="array" ref="N197">IF(SUM(CA!C198:N198)=0,"",SUM(CA!C198:N198))</f>
        <v/>
      </c>
    </row>
    <row r="198" spans="1:14" x14ac:dyDescent="0.25">
      <c r="A198" s="1"/>
      <c r="B198" s="22" cm="1">
        <f t="array" ref="B198">Quantity!B199</f>
        <v>0</v>
      </c>
      <c r="C198" s="23" cm="1">
        <f t="array" ref="C198">Quantity!O199</f>
        <v>0</v>
      </c>
      <c r="D198" s="24" cm="1">
        <f t="array" ref="D198">CA!O199</f>
        <v>0</v>
      </c>
      <c r="E198" s="23" cm="1">
        <f t="array" ref="E198">Quantity!C199</f>
        <v>0</v>
      </c>
      <c r="F198" s="25" cm="1">
        <f t="array" ref="F198">CA!C199</f>
        <v>0</v>
      </c>
      <c r="G198" s="26" cm="1">
        <f t="array" aca="1" ref="G198" ca="1">SUMIFS(Quantity!$C199:$AH199,Quantity!$C$7:$AH$7,H$6,Quantity!$C$8:$AH$8,TRUE)</f>
        <v>0</v>
      </c>
      <c r="H198" s="24" cm="1">
        <f t="array" aca="1" ref="H198" ca="1">SUMIFS(CA!$C199:$AQ199,CA!$C$7:$AQ$7,H$6,CA!$C$8:$AQ$8,TRUE)</f>
        <v>0</v>
      </c>
      <c r="I198" s="23" cm="1">
        <f t="array" aca="1" ref="I198" ca="1">SUMIFS(Quantity!$C199:$AH199,Quantity!$C$7:$AH$7,J$6,Quantity!$C$8:$AH$8,TRUE)</f>
        <v>0</v>
      </c>
      <c r="J198" s="25" cm="1">
        <f t="array" aca="1" ref="J198" ca="1">SUMIFS(CA!$C199:$AQ199,CA!$C$7:$AQ$7,J$6,CA!$C$8:$AQ$8,TRUE)</f>
        <v>0</v>
      </c>
      <c r="K198" s="26" t="str" cm="1">
        <f t="array" ref="K198">IF(SUM(Quantity!O199:Z199)=0,"",SUM(Quantity!O199:Z199))</f>
        <v/>
      </c>
      <c r="L198" s="24" t="str" cm="1">
        <f t="array" ref="L198">IF(SUM(CA!O199:Z199)=0,"",SUM(CA!O199:Z199))</f>
        <v/>
      </c>
      <c r="M198" s="23" t="str" cm="1">
        <f t="array" ref="M198">IF(SUM(Quantity!C199:N199)=0,"",SUM(Quantity!C199:N199))</f>
        <v/>
      </c>
      <c r="N198" s="25" t="str" cm="1">
        <f t="array" ref="N198">IF(SUM(CA!C199:N199)=0,"",SUM(CA!C199:N199))</f>
        <v/>
      </c>
    </row>
    <row r="199" spans="1:14" x14ac:dyDescent="0.25">
      <c r="A199" s="1"/>
      <c r="B199" s="22" cm="1">
        <f t="array" ref="B199">Quantity!B200</f>
        <v>0</v>
      </c>
      <c r="C199" s="23" cm="1">
        <f t="array" ref="C199">Quantity!O200</f>
        <v>0</v>
      </c>
      <c r="D199" s="24" cm="1">
        <f t="array" ref="D199">CA!O200</f>
        <v>0</v>
      </c>
      <c r="E199" s="23" cm="1">
        <f t="array" ref="E199">Quantity!C200</f>
        <v>0</v>
      </c>
      <c r="F199" s="25" cm="1">
        <f t="array" ref="F199">CA!C200</f>
        <v>0</v>
      </c>
      <c r="G199" s="26" cm="1">
        <f t="array" aca="1" ref="G199" ca="1">SUMIFS(Quantity!$C200:$AH200,Quantity!$C$7:$AH$7,H$6,Quantity!$C$8:$AH$8,TRUE)</f>
        <v>0</v>
      </c>
      <c r="H199" s="24" cm="1">
        <f t="array" aca="1" ref="H199" ca="1">SUMIFS(CA!$C200:$AQ200,CA!$C$7:$AQ$7,H$6,CA!$C$8:$AQ$8,TRUE)</f>
        <v>0</v>
      </c>
      <c r="I199" s="23" cm="1">
        <f t="array" aca="1" ref="I199" ca="1">SUMIFS(Quantity!$C200:$AH200,Quantity!$C$7:$AH$7,J$6,Quantity!$C$8:$AH$8,TRUE)</f>
        <v>0</v>
      </c>
      <c r="J199" s="25" cm="1">
        <f t="array" aca="1" ref="J199" ca="1">SUMIFS(CA!$C200:$AQ200,CA!$C$7:$AQ$7,J$6,CA!$C$8:$AQ$8,TRUE)</f>
        <v>0</v>
      </c>
      <c r="K199" s="26" t="str" cm="1">
        <f t="array" ref="K199">IF(SUM(Quantity!O200:Z200)=0,"",SUM(Quantity!O200:Z200))</f>
        <v/>
      </c>
      <c r="L199" s="24" t="str" cm="1">
        <f t="array" ref="L199">IF(SUM(CA!O200:Z200)=0,"",SUM(CA!O200:Z200))</f>
        <v/>
      </c>
      <c r="M199" s="23" t="str" cm="1">
        <f t="array" ref="M199">IF(SUM(Quantity!C200:N200)=0,"",SUM(Quantity!C200:N200))</f>
        <v/>
      </c>
      <c r="N199" s="25" t="str" cm="1">
        <f t="array" ref="N199">IF(SUM(CA!C200:N200)=0,"",SUM(CA!C200:N200))</f>
        <v/>
      </c>
    </row>
    <row r="200" spans="1:14" x14ac:dyDescent="0.25">
      <c r="A200" s="1"/>
      <c r="B200" s="22" cm="1">
        <f t="array" ref="B200">Quantity!B201</f>
        <v>0</v>
      </c>
      <c r="C200" s="23" cm="1">
        <f t="array" ref="C200">Quantity!O201</f>
        <v>0</v>
      </c>
      <c r="D200" s="24" cm="1">
        <f t="array" ref="D200">CA!O201</f>
        <v>0</v>
      </c>
      <c r="E200" s="23" cm="1">
        <f t="array" ref="E200">Quantity!C201</f>
        <v>0</v>
      </c>
      <c r="F200" s="25" cm="1">
        <f t="array" ref="F200">CA!C201</f>
        <v>0</v>
      </c>
      <c r="G200" s="26" cm="1">
        <f t="array" aca="1" ref="G200" ca="1">SUMIFS(Quantity!$C201:$AH201,Quantity!$C$7:$AH$7,H$6,Quantity!$C$8:$AH$8,TRUE)</f>
        <v>0</v>
      </c>
      <c r="H200" s="24" cm="1">
        <f t="array" aca="1" ref="H200" ca="1">SUMIFS(CA!$C201:$AQ201,CA!$C$7:$AQ$7,H$6,CA!$C$8:$AQ$8,TRUE)</f>
        <v>0</v>
      </c>
      <c r="I200" s="23" cm="1">
        <f t="array" aca="1" ref="I200" ca="1">SUMIFS(Quantity!$C201:$AH201,Quantity!$C$7:$AH$7,J$6,Quantity!$C$8:$AH$8,TRUE)</f>
        <v>0</v>
      </c>
      <c r="J200" s="25" cm="1">
        <f t="array" aca="1" ref="J200" ca="1">SUMIFS(CA!$C201:$AQ201,CA!$C$7:$AQ$7,J$6,CA!$C$8:$AQ$8,TRUE)</f>
        <v>0</v>
      </c>
      <c r="K200" s="26" t="str" cm="1">
        <f t="array" ref="K200">IF(SUM(Quantity!O201:Z201)=0,"",SUM(Quantity!O201:Z201))</f>
        <v/>
      </c>
      <c r="L200" s="24" t="str" cm="1">
        <f t="array" ref="L200">IF(SUM(CA!O201:Z201)=0,"",SUM(CA!O201:Z201))</f>
        <v/>
      </c>
      <c r="M200" s="23" t="str" cm="1">
        <f t="array" ref="M200">IF(SUM(Quantity!C201:N201)=0,"",SUM(Quantity!C201:N201))</f>
        <v/>
      </c>
      <c r="N200" s="25" t="str" cm="1">
        <f t="array" ref="N200">IF(SUM(CA!C201:N201)=0,"",SUM(CA!C201:N201))</f>
        <v/>
      </c>
    </row>
    <row r="201" spans="1:14" x14ac:dyDescent="0.25">
      <c r="A201" s="1"/>
      <c r="B201" s="22" cm="1">
        <f t="array" ref="B201">Quantity!B202</f>
        <v>0</v>
      </c>
      <c r="C201" s="23" cm="1">
        <f t="array" ref="C201">Quantity!O202</f>
        <v>0</v>
      </c>
      <c r="D201" s="24" cm="1">
        <f t="array" ref="D201">CA!O202</f>
        <v>0</v>
      </c>
      <c r="E201" s="23" cm="1">
        <f t="array" ref="E201">Quantity!C202</f>
        <v>0</v>
      </c>
      <c r="F201" s="25" cm="1">
        <f t="array" ref="F201">CA!C202</f>
        <v>0</v>
      </c>
      <c r="G201" s="26" cm="1">
        <f t="array" aca="1" ref="G201" ca="1">SUMIFS(Quantity!$C202:$AH202,Quantity!$C$7:$AH$7,H$6,Quantity!$C$8:$AH$8,TRUE)</f>
        <v>0</v>
      </c>
      <c r="H201" s="24" cm="1">
        <f t="array" aca="1" ref="H201" ca="1">SUMIFS(CA!$C202:$AQ202,CA!$C$7:$AQ$7,H$6,CA!$C$8:$AQ$8,TRUE)</f>
        <v>0</v>
      </c>
      <c r="I201" s="23" cm="1">
        <f t="array" aca="1" ref="I201" ca="1">SUMIFS(Quantity!$C202:$AH202,Quantity!$C$7:$AH$7,J$6,Quantity!$C$8:$AH$8,TRUE)</f>
        <v>0</v>
      </c>
      <c r="J201" s="25" cm="1">
        <f t="array" aca="1" ref="J201" ca="1">SUMIFS(CA!$C202:$AQ202,CA!$C$7:$AQ$7,J$6,CA!$C$8:$AQ$8,TRUE)</f>
        <v>0</v>
      </c>
      <c r="K201" s="26" t="str" cm="1">
        <f t="array" ref="K201">IF(SUM(Quantity!O202:Z202)=0,"",SUM(Quantity!O202:Z202))</f>
        <v/>
      </c>
      <c r="L201" s="24" t="str" cm="1">
        <f t="array" ref="L201">IF(SUM(CA!O202:Z202)=0,"",SUM(CA!O202:Z202))</f>
        <v/>
      </c>
      <c r="M201" s="23" t="str" cm="1">
        <f t="array" ref="M201">IF(SUM(Quantity!C202:N202)=0,"",SUM(Quantity!C202:N202))</f>
        <v/>
      </c>
      <c r="N201" s="25" t="str" cm="1">
        <f t="array" ref="N201">IF(SUM(CA!C202:N202)=0,"",SUM(CA!C202:N202))</f>
        <v/>
      </c>
    </row>
    <row r="202" spans="1:14" x14ac:dyDescent="0.25">
      <c r="A202" s="1"/>
      <c r="B202" s="22" cm="1">
        <f t="array" ref="B202">Quantity!B203</f>
        <v>0</v>
      </c>
      <c r="C202" s="23" cm="1">
        <f t="array" ref="C202">Quantity!O203</f>
        <v>0</v>
      </c>
      <c r="D202" s="24" cm="1">
        <f t="array" ref="D202">CA!O203</f>
        <v>0</v>
      </c>
      <c r="E202" s="23" cm="1">
        <f t="array" ref="E202">Quantity!C203</f>
        <v>0</v>
      </c>
      <c r="F202" s="25" cm="1">
        <f t="array" ref="F202">CA!C203</f>
        <v>0</v>
      </c>
      <c r="G202" s="26" cm="1">
        <f t="array" aca="1" ref="G202" ca="1">SUMIFS(Quantity!$C203:$AH203,Quantity!$C$7:$AH$7,H$6,Quantity!$C$8:$AH$8,TRUE)</f>
        <v>0</v>
      </c>
      <c r="H202" s="24" cm="1">
        <f t="array" aca="1" ref="H202" ca="1">SUMIFS(CA!$C203:$AQ203,CA!$C$7:$AQ$7,H$6,CA!$C$8:$AQ$8,TRUE)</f>
        <v>0</v>
      </c>
      <c r="I202" s="23" cm="1">
        <f t="array" aca="1" ref="I202" ca="1">SUMIFS(Quantity!$C203:$AH203,Quantity!$C$7:$AH$7,J$6,Quantity!$C$8:$AH$8,TRUE)</f>
        <v>0</v>
      </c>
      <c r="J202" s="25" cm="1">
        <f t="array" aca="1" ref="J202" ca="1">SUMIFS(CA!$C203:$AQ203,CA!$C$7:$AQ$7,J$6,CA!$C$8:$AQ$8,TRUE)</f>
        <v>0</v>
      </c>
      <c r="K202" s="26" t="str" cm="1">
        <f t="array" ref="K202">IF(SUM(Quantity!O203:Z203)=0,"",SUM(Quantity!O203:Z203))</f>
        <v/>
      </c>
      <c r="L202" s="24" t="str" cm="1">
        <f t="array" ref="L202">IF(SUM(CA!O203:Z203)=0,"",SUM(CA!O203:Z203))</f>
        <v/>
      </c>
      <c r="M202" s="23" t="str" cm="1">
        <f t="array" ref="M202">IF(SUM(Quantity!C203:N203)=0,"",SUM(Quantity!C203:N203))</f>
        <v/>
      </c>
      <c r="N202" s="25" t="str" cm="1">
        <f t="array" ref="N202">IF(SUM(CA!C203:N203)=0,"",SUM(CA!C203:N203))</f>
        <v/>
      </c>
    </row>
    <row r="203" spans="1:14" x14ac:dyDescent="0.25">
      <c r="A203" s="1"/>
      <c r="B203" s="22" cm="1">
        <f t="array" ref="B203">Quantity!B204</f>
        <v>0</v>
      </c>
      <c r="C203" s="23" cm="1">
        <f t="array" ref="C203">Quantity!O204</f>
        <v>0</v>
      </c>
      <c r="D203" s="24" cm="1">
        <f t="array" ref="D203">CA!O204</f>
        <v>0</v>
      </c>
      <c r="E203" s="23" cm="1">
        <f t="array" ref="E203">Quantity!C204</f>
        <v>0</v>
      </c>
      <c r="F203" s="25" cm="1">
        <f t="array" ref="F203">CA!C204</f>
        <v>0</v>
      </c>
      <c r="G203" s="26" cm="1">
        <f t="array" aca="1" ref="G203" ca="1">SUMIFS(Quantity!$C204:$AH204,Quantity!$C$7:$AH$7,H$6,Quantity!$C$8:$AH$8,TRUE)</f>
        <v>0</v>
      </c>
      <c r="H203" s="24" cm="1">
        <f t="array" aca="1" ref="H203" ca="1">SUMIFS(CA!$C204:$AQ204,CA!$C$7:$AQ$7,H$6,CA!$C$8:$AQ$8,TRUE)</f>
        <v>0</v>
      </c>
      <c r="I203" s="23" cm="1">
        <f t="array" aca="1" ref="I203" ca="1">SUMIFS(Quantity!$C204:$AH204,Quantity!$C$7:$AH$7,J$6,Quantity!$C$8:$AH$8,TRUE)</f>
        <v>0</v>
      </c>
      <c r="J203" s="25" cm="1">
        <f t="array" aca="1" ref="J203" ca="1">SUMIFS(CA!$C204:$AQ204,CA!$C$7:$AQ$7,J$6,CA!$C$8:$AQ$8,TRUE)</f>
        <v>0</v>
      </c>
      <c r="K203" s="26" t="str" cm="1">
        <f t="array" ref="K203">IF(SUM(Quantity!O204:Z204)=0,"",SUM(Quantity!O204:Z204))</f>
        <v/>
      </c>
      <c r="L203" s="24" t="str" cm="1">
        <f t="array" ref="L203">IF(SUM(CA!O204:Z204)=0,"",SUM(CA!O204:Z204))</f>
        <v/>
      </c>
      <c r="M203" s="23" t="str" cm="1">
        <f t="array" ref="M203">IF(SUM(Quantity!C204:N204)=0,"",SUM(Quantity!C204:N204))</f>
        <v/>
      </c>
      <c r="N203" s="25" t="str" cm="1">
        <f t="array" ref="N203">IF(SUM(CA!C204:N204)=0,"",SUM(CA!C204:N204))</f>
        <v/>
      </c>
    </row>
    <row r="204" spans="1:14" x14ac:dyDescent="0.25">
      <c r="A204" s="1"/>
      <c r="B204" s="22" cm="1">
        <f t="array" ref="B204">Quantity!B205</f>
        <v>0</v>
      </c>
      <c r="C204" s="23" cm="1">
        <f t="array" ref="C204">Quantity!O205</f>
        <v>0</v>
      </c>
      <c r="D204" s="24" cm="1">
        <f t="array" ref="D204">CA!O205</f>
        <v>0</v>
      </c>
      <c r="E204" s="23" cm="1">
        <f t="array" ref="E204">Quantity!C205</f>
        <v>0</v>
      </c>
      <c r="F204" s="25" cm="1">
        <f t="array" ref="F204">CA!C205</f>
        <v>0</v>
      </c>
      <c r="G204" s="26" cm="1">
        <f t="array" aca="1" ref="G204" ca="1">SUMIFS(Quantity!$C205:$AH205,Quantity!$C$7:$AH$7,H$6,Quantity!$C$8:$AH$8,TRUE)</f>
        <v>0</v>
      </c>
      <c r="H204" s="24" cm="1">
        <f t="array" aca="1" ref="H204" ca="1">SUMIFS(CA!$C205:$AQ205,CA!$C$7:$AQ$7,H$6,CA!$C$8:$AQ$8,TRUE)</f>
        <v>0</v>
      </c>
      <c r="I204" s="23" cm="1">
        <f t="array" aca="1" ref="I204" ca="1">SUMIFS(Quantity!$C205:$AH205,Quantity!$C$7:$AH$7,J$6,Quantity!$C$8:$AH$8,TRUE)</f>
        <v>0</v>
      </c>
      <c r="J204" s="25" cm="1">
        <f t="array" aca="1" ref="J204" ca="1">SUMIFS(CA!$C205:$AQ205,CA!$C$7:$AQ$7,J$6,CA!$C$8:$AQ$8,TRUE)</f>
        <v>0</v>
      </c>
      <c r="K204" s="26" t="str" cm="1">
        <f t="array" ref="K204">IF(SUM(Quantity!O205:Z205)=0,"",SUM(Quantity!O205:Z205))</f>
        <v/>
      </c>
      <c r="L204" s="24" t="str" cm="1">
        <f t="array" ref="L204">IF(SUM(CA!O205:Z205)=0,"",SUM(CA!O205:Z205))</f>
        <v/>
      </c>
      <c r="M204" s="23" t="str" cm="1">
        <f t="array" ref="M204">IF(SUM(Quantity!C205:N205)=0,"",SUM(Quantity!C205:N205))</f>
        <v/>
      </c>
      <c r="N204" s="25" t="str" cm="1">
        <f t="array" ref="N204">IF(SUM(CA!C205:N205)=0,"",SUM(CA!C205:N205))</f>
        <v/>
      </c>
    </row>
    <row r="205" spans="1:14" x14ac:dyDescent="0.25">
      <c r="A205" s="1"/>
      <c r="B205" s="22" cm="1">
        <f t="array" ref="B205">Quantity!B206</f>
        <v>0</v>
      </c>
      <c r="C205" s="23" cm="1">
        <f t="array" ref="C205">Quantity!O206</f>
        <v>0</v>
      </c>
      <c r="D205" s="24" cm="1">
        <f t="array" ref="D205">CA!O206</f>
        <v>0</v>
      </c>
      <c r="E205" s="23" cm="1">
        <f t="array" ref="E205">Quantity!C206</f>
        <v>0</v>
      </c>
      <c r="F205" s="25" cm="1">
        <f t="array" ref="F205">CA!C206</f>
        <v>0</v>
      </c>
      <c r="G205" s="26" cm="1">
        <f t="array" aca="1" ref="G205" ca="1">SUMIFS(Quantity!$C206:$AH206,Quantity!$C$7:$AH$7,H$6,Quantity!$C$8:$AH$8,TRUE)</f>
        <v>0</v>
      </c>
      <c r="H205" s="24" cm="1">
        <f t="array" aca="1" ref="H205" ca="1">SUMIFS(CA!$C206:$AQ206,CA!$C$7:$AQ$7,H$6,CA!$C$8:$AQ$8,TRUE)</f>
        <v>0</v>
      </c>
      <c r="I205" s="23" cm="1">
        <f t="array" aca="1" ref="I205" ca="1">SUMIFS(Quantity!$C206:$AH206,Quantity!$C$7:$AH$7,J$6,Quantity!$C$8:$AH$8,TRUE)</f>
        <v>0</v>
      </c>
      <c r="J205" s="25" cm="1">
        <f t="array" aca="1" ref="J205" ca="1">SUMIFS(CA!$C206:$AQ206,CA!$C$7:$AQ$7,J$6,CA!$C$8:$AQ$8,TRUE)</f>
        <v>0</v>
      </c>
      <c r="K205" s="26" t="str" cm="1">
        <f t="array" ref="K205">IF(SUM(Quantity!O206:Z206)=0,"",SUM(Quantity!O206:Z206))</f>
        <v/>
      </c>
      <c r="L205" s="24" t="str" cm="1">
        <f t="array" ref="L205">IF(SUM(CA!O206:Z206)=0,"",SUM(CA!O206:Z206))</f>
        <v/>
      </c>
      <c r="M205" s="23" t="str" cm="1">
        <f t="array" ref="M205">IF(SUM(Quantity!C206:N206)=0,"",SUM(Quantity!C206:N206))</f>
        <v/>
      </c>
      <c r="N205" s="25" t="str" cm="1">
        <f t="array" ref="N205">IF(SUM(CA!C206:N206)=0,"",SUM(CA!C206:N206))</f>
        <v/>
      </c>
    </row>
    <row r="206" spans="1:14" x14ac:dyDescent="0.25">
      <c r="A206" s="1"/>
      <c r="B206" s="22" cm="1">
        <f t="array" ref="B206">Quantity!B207</f>
        <v>0</v>
      </c>
      <c r="C206" s="23" cm="1">
        <f t="array" ref="C206">Quantity!O207</f>
        <v>0</v>
      </c>
      <c r="D206" s="24" cm="1">
        <f t="array" ref="D206">CA!O207</f>
        <v>0</v>
      </c>
      <c r="E206" s="23" cm="1">
        <f t="array" ref="E206">Quantity!C207</f>
        <v>0</v>
      </c>
      <c r="F206" s="25" cm="1">
        <f t="array" ref="F206">CA!C207</f>
        <v>0</v>
      </c>
      <c r="G206" s="26" cm="1">
        <f t="array" aca="1" ref="G206" ca="1">SUMIFS(Quantity!$C207:$AH207,Quantity!$C$7:$AH$7,H$6,Quantity!$C$8:$AH$8,TRUE)</f>
        <v>0</v>
      </c>
      <c r="H206" s="24" cm="1">
        <f t="array" aca="1" ref="H206" ca="1">SUMIFS(CA!$C207:$AQ207,CA!$C$7:$AQ$7,H$6,CA!$C$8:$AQ$8,TRUE)</f>
        <v>0</v>
      </c>
      <c r="I206" s="23" cm="1">
        <f t="array" aca="1" ref="I206" ca="1">SUMIFS(Quantity!$C207:$AH207,Quantity!$C$7:$AH$7,J$6,Quantity!$C$8:$AH$8,TRUE)</f>
        <v>0</v>
      </c>
      <c r="J206" s="25" cm="1">
        <f t="array" aca="1" ref="J206" ca="1">SUMIFS(CA!$C207:$AQ207,CA!$C$7:$AQ$7,J$6,CA!$C$8:$AQ$8,TRUE)</f>
        <v>0</v>
      </c>
      <c r="K206" s="26" t="str" cm="1">
        <f t="array" ref="K206">IF(SUM(Quantity!O207:Z207)=0,"",SUM(Quantity!O207:Z207))</f>
        <v/>
      </c>
      <c r="L206" s="24" t="str" cm="1">
        <f t="array" ref="L206">IF(SUM(CA!O207:Z207)=0,"",SUM(CA!O207:Z207))</f>
        <v/>
      </c>
      <c r="M206" s="23" t="str" cm="1">
        <f t="array" ref="M206">IF(SUM(Quantity!C207:N207)=0,"",SUM(Quantity!C207:N207))</f>
        <v/>
      </c>
      <c r="N206" s="25" t="str" cm="1">
        <f t="array" ref="N206">IF(SUM(CA!C207:N207)=0,"",SUM(CA!C207:N207))</f>
        <v/>
      </c>
    </row>
    <row r="207" spans="1:14" x14ac:dyDescent="0.25">
      <c r="A207" s="1"/>
      <c r="B207" s="22" cm="1">
        <f t="array" ref="B207">Quantity!B208</f>
        <v>0</v>
      </c>
      <c r="C207" s="23" cm="1">
        <f t="array" ref="C207">Quantity!O208</f>
        <v>0</v>
      </c>
      <c r="D207" s="24" cm="1">
        <f t="array" ref="D207">CA!O208</f>
        <v>0</v>
      </c>
      <c r="E207" s="23" cm="1">
        <f t="array" ref="E207">Quantity!C208</f>
        <v>0</v>
      </c>
      <c r="F207" s="25" cm="1">
        <f t="array" ref="F207">CA!C208</f>
        <v>0</v>
      </c>
      <c r="G207" s="26" cm="1">
        <f t="array" aca="1" ref="G207" ca="1">SUMIFS(Quantity!$C208:$AH208,Quantity!$C$7:$AH$7,H$6,Quantity!$C$8:$AH$8,TRUE)</f>
        <v>0</v>
      </c>
      <c r="H207" s="24" cm="1">
        <f t="array" aca="1" ref="H207" ca="1">SUMIFS(CA!$C208:$AQ208,CA!$C$7:$AQ$7,H$6,CA!$C$8:$AQ$8,TRUE)</f>
        <v>0</v>
      </c>
      <c r="I207" s="23" cm="1">
        <f t="array" aca="1" ref="I207" ca="1">SUMIFS(Quantity!$C208:$AH208,Quantity!$C$7:$AH$7,J$6,Quantity!$C$8:$AH$8,TRUE)</f>
        <v>0</v>
      </c>
      <c r="J207" s="25" cm="1">
        <f t="array" aca="1" ref="J207" ca="1">SUMIFS(CA!$C208:$AQ208,CA!$C$7:$AQ$7,J$6,CA!$C$8:$AQ$8,TRUE)</f>
        <v>0</v>
      </c>
      <c r="K207" s="26" t="str" cm="1">
        <f t="array" ref="K207">IF(SUM(Quantity!O208:Z208)=0,"",SUM(Quantity!O208:Z208))</f>
        <v/>
      </c>
      <c r="L207" s="24" t="str" cm="1">
        <f t="array" ref="L207">IF(SUM(CA!O208:Z208)=0,"",SUM(CA!O208:Z208))</f>
        <v/>
      </c>
      <c r="M207" s="23" t="str" cm="1">
        <f t="array" ref="M207">IF(SUM(Quantity!C208:N208)=0,"",SUM(Quantity!C208:N208))</f>
        <v/>
      </c>
      <c r="N207" s="25" t="str" cm="1">
        <f t="array" ref="N207">IF(SUM(CA!C208:N208)=0,"",SUM(CA!C208:N208))</f>
        <v/>
      </c>
    </row>
    <row r="208" spans="1:14" x14ac:dyDescent="0.25">
      <c r="A208" s="1"/>
      <c r="B208" s="22" cm="1">
        <f t="array" ref="B208">Quantity!B209</f>
        <v>0</v>
      </c>
      <c r="C208" s="23" cm="1">
        <f t="array" ref="C208">Quantity!O209</f>
        <v>0</v>
      </c>
      <c r="D208" s="24" cm="1">
        <f t="array" ref="D208">CA!O209</f>
        <v>0</v>
      </c>
      <c r="E208" s="23" cm="1">
        <f t="array" ref="E208">Quantity!C209</f>
        <v>0</v>
      </c>
      <c r="F208" s="25" cm="1">
        <f t="array" ref="F208">CA!C209</f>
        <v>0</v>
      </c>
      <c r="G208" s="26" cm="1">
        <f t="array" aca="1" ref="G208" ca="1">SUMIFS(Quantity!$C209:$AH209,Quantity!$C$7:$AH$7,H$6,Quantity!$C$8:$AH$8,TRUE)</f>
        <v>0</v>
      </c>
      <c r="H208" s="24" cm="1">
        <f t="array" aca="1" ref="H208" ca="1">SUMIFS(CA!$C209:$AQ209,CA!$C$7:$AQ$7,H$6,CA!$C$8:$AQ$8,TRUE)</f>
        <v>0</v>
      </c>
      <c r="I208" s="23" cm="1">
        <f t="array" aca="1" ref="I208" ca="1">SUMIFS(Quantity!$C209:$AH209,Quantity!$C$7:$AH$7,J$6,Quantity!$C$8:$AH$8,TRUE)</f>
        <v>0</v>
      </c>
      <c r="J208" s="25" cm="1">
        <f t="array" aca="1" ref="J208" ca="1">SUMIFS(CA!$C209:$AQ209,CA!$C$7:$AQ$7,J$6,CA!$C$8:$AQ$8,TRUE)</f>
        <v>0</v>
      </c>
      <c r="K208" s="26" t="str" cm="1">
        <f t="array" ref="K208">IF(SUM(Quantity!O209:Z209)=0,"",SUM(Quantity!O209:Z209))</f>
        <v/>
      </c>
      <c r="L208" s="24" t="str" cm="1">
        <f t="array" ref="L208">IF(SUM(CA!O209:Z209)=0,"",SUM(CA!O209:Z209))</f>
        <v/>
      </c>
      <c r="M208" s="23" t="str" cm="1">
        <f t="array" ref="M208">IF(SUM(Quantity!C209:N209)=0,"",SUM(Quantity!C209:N209))</f>
        <v/>
      </c>
      <c r="N208" s="25" t="str" cm="1">
        <f t="array" ref="N208">IF(SUM(CA!C209:N209)=0,"",SUM(CA!C209:N209))</f>
        <v/>
      </c>
    </row>
    <row r="209" spans="1:14" x14ac:dyDescent="0.25">
      <c r="A209" s="1"/>
      <c r="B209" s="22" cm="1">
        <f t="array" ref="B209">Quantity!B210</f>
        <v>0</v>
      </c>
      <c r="C209" s="23" cm="1">
        <f t="array" ref="C209">Quantity!O210</f>
        <v>0</v>
      </c>
      <c r="D209" s="24" cm="1">
        <f t="array" ref="D209">CA!O210</f>
        <v>0</v>
      </c>
      <c r="E209" s="23" cm="1">
        <f t="array" ref="E209">Quantity!C210</f>
        <v>0</v>
      </c>
      <c r="F209" s="25" cm="1">
        <f t="array" ref="F209">CA!C210</f>
        <v>0</v>
      </c>
      <c r="G209" s="26" cm="1">
        <f t="array" aca="1" ref="G209" ca="1">SUMIFS(Quantity!$C210:$AH210,Quantity!$C$7:$AH$7,H$6,Quantity!$C$8:$AH$8,TRUE)</f>
        <v>0</v>
      </c>
      <c r="H209" s="24" cm="1">
        <f t="array" aca="1" ref="H209" ca="1">SUMIFS(CA!$C210:$AQ210,CA!$C$7:$AQ$7,H$6,CA!$C$8:$AQ$8,TRUE)</f>
        <v>0</v>
      </c>
      <c r="I209" s="23" cm="1">
        <f t="array" aca="1" ref="I209" ca="1">SUMIFS(Quantity!$C210:$AH210,Quantity!$C$7:$AH$7,J$6,Quantity!$C$8:$AH$8,TRUE)</f>
        <v>0</v>
      </c>
      <c r="J209" s="25" cm="1">
        <f t="array" aca="1" ref="J209" ca="1">SUMIFS(CA!$C210:$AQ210,CA!$C$7:$AQ$7,J$6,CA!$C$8:$AQ$8,TRUE)</f>
        <v>0</v>
      </c>
      <c r="K209" s="26" t="str" cm="1">
        <f t="array" ref="K209">IF(SUM(Quantity!O210:Z210)=0,"",SUM(Quantity!O210:Z210))</f>
        <v/>
      </c>
      <c r="L209" s="24" t="str" cm="1">
        <f t="array" ref="L209">IF(SUM(CA!O210:Z210)=0,"",SUM(CA!O210:Z210))</f>
        <v/>
      </c>
      <c r="M209" s="23" t="str" cm="1">
        <f t="array" ref="M209">IF(SUM(Quantity!C210:N210)=0,"",SUM(Quantity!C210:N210))</f>
        <v/>
      </c>
      <c r="N209" s="25" t="str" cm="1">
        <f t="array" ref="N209">IF(SUM(CA!C210:N210)=0,"",SUM(CA!C210:N210))</f>
        <v/>
      </c>
    </row>
    <row r="210" spans="1:14" x14ac:dyDescent="0.25">
      <c r="A210" s="1"/>
      <c r="B210" s="22" cm="1">
        <f t="array" ref="B210">Quantity!B211</f>
        <v>0</v>
      </c>
      <c r="C210" s="23" cm="1">
        <f t="array" ref="C210">Quantity!O211</f>
        <v>0</v>
      </c>
      <c r="D210" s="24" cm="1">
        <f t="array" ref="D210">CA!O211</f>
        <v>0</v>
      </c>
      <c r="E210" s="23" cm="1">
        <f t="array" ref="E210">Quantity!C211</f>
        <v>0</v>
      </c>
      <c r="F210" s="25" cm="1">
        <f t="array" ref="F210">CA!C211</f>
        <v>0</v>
      </c>
      <c r="G210" s="26" cm="1">
        <f t="array" aca="1" ref="G210" ca="1">SUMIFS(Quantity!$C211:$AH211,Quantity!$C$7:$AH$7,H$6,Quantity!$C$8:$AH$8,TRUE)</f>
        <v>0</v>
      </c>
      <c r="H210" s="24" cm="1">
        <f t="array" aca="1" ref="H210" ca="1">SUMIFS(CA!$C211:$AQ211,CA!$C$7:$AQ$7,H$6,CA!$C$8:$AQ$8,TRUE)</f>
        <v>0</v>
      </c>
      <c r="I210" s="23" cm="1">
        <f t="array" aca="1" ref="I210" ca="1">SUMIFS(Quantity!$C211:$AH211,Quantity!$C$7:$AH$7,J$6,Quantity!$C$8:$AH$8,TRUE)</f>
        <v>0</v>
      </c>
      <c r="J210" s="25" cm="1">
        <f t="array" aca="1" ref="J210" ca="1">SUMIFS(CA!$C211:$AQ211,CA!$C$7:$AQ$7,J$6,CA!$C$8:$AQ$8,TRUE)</f>
        <v>0</v>
      </c>
      <c r="K210" s="26" t="str" cm="1">
        <f t="array" ref="K210">IF(SUM(Quantity!O211:Z211)=0,"",SUM(Quantity!O211:Z211))</f>
        <v/>
      </c>
      <c r="L210" s="24" t="str" cm="1">
        <f t="array" ref="L210">IF(SUM(CA!O211:Z211)=0,"",SUM(CA!O211:Z211))</f>
        <v/>
      </c>
      <c r="M210" s="23" t="str" cm="1">
        <f t="array" ref="M210">IF(SUM(Quantity!C211:N211)=0,"",SUM(Quantity!C211:N211))</f>
        <v/>
      </c>
      <c r="N210" s="25" t="str" cm="1">
        <f t="array" ref="N210">IF(SUM(CA!C211:N211)=0,"",SUM(CA!C211:N211))</f>
        <v/>
      </c>
    </row>
    <row r="211" spans="1:14" x14ac:dyDescent="0.25">
      <c r="A211" s="1"/>
      <c r="B211" s="22" cm="1">
        <f t="array" ref="B211">Quantity!B212</f>
        <v>0</v>
      </c>
      <c r="C211" s="23" cm="1">
        <f t="array" ref="C211">Quantity!O212</f>
        <v>0</v>
      </c>
      <c r="D211" s="24" cm="1">
        <f t="array" ref="D211">CA!O212</f>
        <v>0</v>
      </c>
      <c r="E211" s="23" cm="1">
        <f t="array" ref="E211">Quantity!C212</f>
        <v>0</v>
      </c>
      <c r="F211" s="25" cm="1">
        <f t="array" ref="F211">CA!C212</f>
        <v>0</v>
      </c>
      <c r="G211" s="26" cm="1">
        <f t="array" aca="1" ref="G211" ca="1">SUMIFS(Quantity!$C212:$AH212,Quantity!$C$7:$AH$7,H$6,Quantity!$C$8:$AH$8,TRUE)</f>
        <v>0</v>
      </c>
      <c r="H211" s="24" cm="1">
        <f t="array" aca="1" ref="H211" ca="1">SUMIFS(CA!$C212:$AQ212,CA!$C$7:$AQ$7,H$6,CA!$C$8:$AQ$8,TRUE)</f>
        <v>0</v>
      </c>
      <c r="I211" s="23" cm="1">
        <f t="array" aca="1" ref="I211" ca="1">SUMIFS(Quantity!$C212:$AH212,Quantity!$C$7:$AH$7,J$6,Quantity!$C$8:$AH$8,TRUE)</f>
        <v>0</v>
      </c>
      <c r="J211" s="25" cm="1">
        <f t="array" aca="1" ref="J211" ca="1">SUMIFS(CA!$C212:$AQ212,CA!$C$7:$AQ$7,J$6,CA!$C$8:$AQ$8,TRUE)</f>
        <v>0</v>
      </c>
      <c r="K211" s="26" t="str" cm="1">
        <f t="array" ref="K211">IF(SUM(Quantity!O212:Z212)=0,"",SUM(Quantity!O212:Z212))</f>
        <v/>
      </c>
      <c r="L211" s="24" t="str" cm="1">
        <f t="array" ref="L211">IF(SUM(CA!O212:Z212)=0,"",SUM(CA!O212:Z212))</f>
        <v/>
      </c>
      <c r="M211" s="23" t="str" cm="1">
        <f t="array" ref="M211">IF(SUM(Quantity!C212:N212)=0,"",SUM(Quantity!C212:N212))</f>
        <v/>
      </c>
      <c r="N211" s="25" t="str" cm="1">
        <f t="array" ref="N211">IF(SUM(CA!C212:N212)=0,"",SUM(CA!C212:N212))</f>
        <v/>
      </c>
    </row>
    <row r="212" spans="1:14" x14ac:dyDescent="0.25">
      <c r="A212" s="1"/>
      <c r="B212" s="22" cm="1">
        <f t="array" ref="B212">Quantity!B213</f>
        <v>0</v>
      </c>
      <c r="C212" s="23" cm="1">
        <f t="array" ref="C212">Quantity!O213</f>
        <v>0</v>
      </c>
      <c r="D212" s="24" cm="1">
        <f t="array" ref="D212">CA!O213</f>
        <v>0</v>
      </c>
      <c r="E212" s="23" cm="1">
        <f t="array" ref="E212">Quantity!C213</f>
        <v>0</v>
      </c>
      <c r="F212" s="25" cm="1">
        <f t="array" ref="F212">CA!C213</f>
        <v>0</v>
      </c>
      <c r="G212" s="26" cm="1">
        <f t="array" aca="1" ref="G212" ca="1">SUMIFS(Quantity!$C213:$AH213,Quantity!$C$7:$AH$7,H$6,Quantity!$C$8:$AH$8,TRUE)</f>
        <v>0</v>
      </c>
      <c r="H212" s="24" cm="1">
        <f t="array" aca="1" ref="H212" ca="1">SUMIFS(CA!$C213:$AQ213,CA!$C$7:$AQ$7,H$6,CA!$C$8:$AQ$8,TRUE)</f>
        <v>0</v>
      </c>
      <c r="I212" s="23" cm="1">
        <f t="array" aca="1" ref="I212" ca="1">SUMIFS(Quantity!$C213:$AH213,Quantity!$C$7:$AH$7,J$6,Quantity!$C$8:$AH$8,TRUE)</f>
        <v>0</v>
      </c>
      <c r="J212" s="25" cm="1">
        <f t="array" aca="1" ref="J212" ca="1">SUMIFS(CA!$C213:$AQ213,CA!$C$7:$AQ$7,J$6,CA!$C$8:$AQ$8,TRUE)</f>
        <v>0</v>
      </c>
      <c r="K212" s="26" t="str" cm="1">
        <f t="array" ref="K212">IF(SUM(Quantity!O213:Z213)=0,"",SUM(Quantity!O213:Z213))</f>
        <v/>
      </c>
      <c r="L212" s="24" t="str" cm="1">
        <f t="array" ref="L212">IF(SUM(CA!O213:Z213)=0,"",SUM(CA!O213:Z213))</f>
        <v/>
      </c>
      <c r="M212" s="23" t="str" cm="1">
        <f t="array" ref="M212">IF(SUM(Quantity!C213:N213)=0,"",SUM(Quantity!C213:N213))</f>
        <v/>
      </c>
      <c r="N212" s="25" t="str" cm="1">
        <f t="array" ref="N212">IF(SUM(CA!C213:N213)=0,"",SUM(CA!C213:N213))</f>
        <v/>
      </c>
    </row>
    <row r="213" spans="1:14" x14ac:dyDescent="0.25">
      <c r="A213" s="1"/>
      <c r="B213" s="22" cm="1">
        <f t="array" ref="B213">Quantity!B214</f>
        <v>0</v>
      </c>
      <c r="C213" s="23" cm="1">
        <f t="array" ref="C213">Quantity!O214</f>
        <v>0</v>
      </c>
      <c r="D213" s="24" cm="1">
        <f t="array" ref="D213">CA!O214</f>
        <v>0</v>
      </c>
      <c r="E213" s="23" cm="1">
        <f t="array" ref="E213">Quantity!C214</f>
        <v>0</v>
      </c>
      <c r="F213" s="25" cm="1">
        <f t="array" ref="F213">CA!C214</f>
        <v>0</v>
      </c>
      <c r="G213" s="26" cm="1">
        <f t="array" aca="1" ref="G213" ca="1">SUMIFS(Quantity!$C214:$AH214,Quantity!$C$7:$AH$7,H$6,Quantity!$C$8:$AH$8,TRUE)</f>
        <v>0</v>
      </c>
      <c r="H213" s="24" cm="1">
        <f t="array" aca="1" ref="H213" ca="1">SUMIFS(CA!$C214:$AQ214,CA!$C$7:$AQ$7,H$6,CA!$C$8:$AQ$8,TRUE)</f>
        <v>0</v>
      </c>
      <c r="I213" s="23" cm="1">
        <f t="array" aca="1" ref="I213" ca="1">SUMIFS(Quantity!$C214:$AH214,Quantity!$C$7:$AH$7,J$6,Quantity!$C$8:$AH$8,TRUE)</f>
        <v>0</v>
      </c>
      <c r="J213" s="25" cm="1">
        <f t="array" aca="1" ref="J213" ca="1">SUMIFS(CA!$C214:$AQ214,CA!$C$7:$AQ$7,J$6,CA!$C$8:$AQ$8,TRUE)</f>
        <v>0</v>
      </c>
      <c r="K213" s="26" t="str" cm="1">
        <f t="array" ref="K213">IF(SUM(Quantity!O214:Z214)=0,"",SUM(Quantity!O214:Z214))</f>
        <v/>
      </c>
      <c r="L213" s="24" t="str" cm="1">
        <f t="array" ref="L213">IF(SUM(CA!O214:Z214)=0,"",SUM(CA!O214:Z214))</f>
        <v/>
      </c>
      <c r="M213" s="23" t="str" cm="1">
        <f t="array" ref="M213">IF(SUM(Quantity!C214:N214)=0,"",SUM(Quantity!C214:N214))</f>
        <v/>
      </c>
      <c r="N213" s="25" t="str" cm="1">
        <f t="array" ref="N213">IF(SUM(CA!C214:N214)=0,"",SUM(CA!C214:N214))</f>
        <v/>
      </c>
    </row>
    <row r="214" spans="1:14" x14ac:dyDescent="0.25">
      <c r="A214" s="1"/>
      <c r="B214" s="22" cm="1">
        <f t="array" ref="B214">Quantity!B215</f>
        <v>0</v>
      </c>
      <c r="C214" s="23" cm="1">
        <f t="array" ref="C214">Quantity!O215</f>
        <v>0</v>
      </c>
      <c r="D214" s="24" cm="1">
        <f t="array" ref="D214">CA!O215</f>
        <v>0</v>
      </c>
      <c r="E214" s="23" cm="1">
        <f t="array" ref="E214">Quantity!C215</f>
        <v>0</v>
      </c>
      <c r="F214" s="25" cm="1">
        <f t="array" ref="F214">CA!C215</f>
        <v>0</v>
      </c>
      <c r="G214" s="26" cm="1">
        <f t="array" aca="1" ref="G214" ca="1">SUMIFS(Quantity!$C215:$AH215,Quantity!$C$7:$AH$7,H$6,Quantity!$C$8:$AH$8,TRUE)</f>
        <v>0</v>
      </c>
      <c r="H214" s="24" cm="1">
        <f t="array" aca="1" ref="H214" ca="1">SUMIFS(CA!$C215:$AQ215,CA!$C$7:$AQ$7,H$6,CA!$C$8:$AQ$8,TRUE)</f>
        <v>0</v>
      </c>
      <c r="I214" s="23" cm="1">
        <f t="array" aca="1" ref="I214" ca="1">SUMIFS(Quantity!$C215:$AH215,Quantity!$C$7:$AH$7,J$6,Quantity!$C$8:$AH$8,TRUE)</f>
        <v>0</v>
      </c>
      <c r="J214" s="25" cm="1">
        <f t="array" aca="1" ref="J214" ca="1">SUMIFS(CA!$C215:$AQ215,CA!$C$7:$AQ$7,J$6,CA!$C$8:$AQ$8,TRUE)</f>
        <v>0</v>
      </c>
      <c r="K214" s="26" t="str" cm="1">
        <f t="array" ref="K214">IF(SUM(Quantity!O215:Z215)=0,"",SUM(Quantity!O215:Z215))</f>
        <v/>
      </c>
      <c r="L214" s="24" t="str" cm="1">
        <f t="array" ref="L214">IF(SUM(CA!O215:Z215)=0,"",SUM(CA!O215:Z215))</f>
        <v/>
      </c>
      <c r="M214" s="23" t="str" cm="1">
        <f t="array" ref="M214">IF(SUM(Quantity!C215:N215)=0,"",SUM(Quantity!C215:N215))</f>
        <v/>
      </c>
      <c r="N214" s="25" t="str" cm="1">
        <f t="array" ref="N214">IF(SUM(CA!C215:N215)=0,"",SUM(CA!C215:N215))</f>
        <v/>
      </c>
    </row>
    <row r="215" spans="1:14" x14ac:dyDescent="0.25">
      <c r="A215" s="1"/>
      <c r="B215" s="22" cm="1">
        <f t="array" ref="B215">Quantity!B216</f>
        <v>0</v>
      </c>
      <c r="C215" s="23" cm="1">
        <f t="array" ref="C215">Quantity!O216</f>
        <v>0</v>
      </c>
      <c r="D215" s="24" cm="1">
        <f t="array" ref="D215">CA!O216</f>
        <v>0</v>
      </c>
      <c r="E215" s="23" cm="1">
        <f t="array" ref="E215">Quantity!C216</f>
        <v>0</v>
      </c>
      <c r="F215" s="25" cm="1">
        <f t="array" ref="F215">CA!C216</f>
        <v>0</v>
      </c>
      <c r="G215" s="26" cm="1">
        <f t="array" aca="1" ref="G215" ca="1">SUMIFS(Quantity!$C216:$AH216,Quantity!$C$7:$AH$7,H$6,Quantity!$C$8:$AH$8,TRUE)</f>
        <v>0</v>
      </c>
      <c r="H215" s="24" cm="1">
        <f t="array" aca="1" ref="H215" ca="1">SUMIFS(CA!$C216:$AQ216,CA!$C$7:$AQ$7,H$6,CA!$C$8:$AQ$8,TRUE)</f>
        <v>0</v>
      </c>
      <c r="I215" s="23" cm="1">
        <f t="array" aca="1" ref="I215" ca="1">SUMIFS(Quantity!$C216:$AH216,Quantity!$C$7:$AH$7,J$6,Quantity!$C$8:$AH$8,TRUE)</f>
        <v>0</v>
      </c>
      <c r="J215" s="25" cm="1">
        <f t="array" aca="1" ref="J215" ca="1">SUMIFS(CA!$C216:$AQ216,CA!$C$7:$AQ$7,J$6,CA!$C$8:$AQ$8,TRUE)</f>
        <v>0</v>
      </c>
      <c r="K215" s="26" t="str" cm="1">
        <f t="array" ref="K215">IF(SUM(Quantity!O216:Z216)=0,"",SUM(Quantity!O216:Z216))</f>
        <v/>
      </c>
      <c r="L215" s="24" t="str" cm="1">
        <f t="array" ref="L215">IF(SUM(CA!O216:Z216)=0,"",SUM(CA!O216:Z216))</f>
        <v/>
      </c>
      <c r="M215" s="23" t="str" cm="1">
        <f t="array" ref="M215">IF(SUM(Quantity!C216:N216)=0,"",SUM(Quantity!C216:N216))</f>
        <v/>
      </c>
      <c r="N215" s="25" t="str" cm="1">
        <f t="array" ref="N215">IF(SUM(CA!C216:N216)=0,"",SUM(CA!C216:N216))</f>
        <v/>
      </c>
    </row>
    <row r="216" spans="1:14" x14ac:dyDescent="0.25">
      <c r="A216" s="1"/>
      <c r="B216" s="22" cm="1">
        <f t="array" ref="B216">Quantity!B217</f>
        <v>0</v>
      </c>
      <c r="C216" s="23" cm="1">
        <f t="array" ref="C216">Quantity!O217</f>
        <v>0</v>
      </c>
      <c r="D216" s="24" cm="1">
        <f t="array" ref="D216">CA!O217</f>
        <v>0</v>
      </c>
      <c r="E216" s="23" cm="1">
        <f t="array" ref="E216">Quantity!C217</f>
        <v>0</v>
      </c>
      <c r="F216" s="25" cm="1">
        <f t="array" ref="F216">CA!C217</f>
        <v>0</v>
      </c>
      <c r="G216" s="26" cm="1">
        <f t="array" aca="1" ref="G216" ca="1">SUMIFS(Quantity!$C217:$AH217,Quantity!$C$7:$AH$7,H$6,Quantity!$C$8:$AH$8,TRUE)</f>
        <v>0</v>
      </c>
      <c r="H216" s="24" cm="1">
        <f t="array" aca="1" ref="H216" ca="1">SUMIFS(CA!$C217:$AQ217,CA!$C$7:$AQ$7,H$6,CA!$C$8:$AQ$8,TRUE)</f>
        <v>0</v>
      </c>
      <c r="I216" s="23" cm="1">
        <f t="array" aca="1" ref="I216" ca="1">SUMIFS(Quantity!$C217:$AH217,Quantity!$C$7:$AH$7,J$6,Quantity!$C$8:$AH$8,TRUE)</f>
        <v>0</v>
      </c>
      <c r="J216" s="25" cm="1">
        <f t="array" aca="1" ref="J216" ca="1">SUMIFS(CA!$C217:$AQ217,CA!$C$7:$AQ$7,J$6,CA!$C$8:$AQ$8,TRUE)</f>
        <v>0</v>
      </c>
      <c r="K216" s="26" t="str" cm="1">
        <f t="array" ref="K216">IF(SUM(Quantity!O217:Z217)=0,"",SUM(Quantity!O217:Z217))</f>
        <v/>
      </c>
      <c r="L216" s="24" t="str" cm="1">
        <f t="array" ref="L216">IF(SUM(CA!O217:Z217)=0,"",SUM(CA!O217:Z217))</f>
        <v/>
      </c>
      <c r="M216" s="23" t="str" cm="1">
        <f t="array" ref="M216">IF(SUM(Quantity!C217:N217)=0,"",SUM(Quantity!C217:N217))</f>
        <v/>
      </c>
      <c r="N216" s="25" t="str" cm="1">
        <f t="array" ref="N216">IF(SUM(CA!C217:N217)=0,"",SUM(CA!C217:N217))</f>
        <v/>
      </c>
    </row>
    <row r="217" spans="1:14" x14ac:dyDescent="0.25">
      <c r="A217" s="1"/>
      <c r="B217" s="22" cm="1">
        <f t="array" ref="B217">Quantity!B218</f>
        <v>0</v>
      </c>
      <c r="C217" s="23" cm="1">
        <f t="array" ref="C217">Quantity!O218</f>
        <v>0</v>
      </c>
      <c r="D217" s="24" cm="1">
        <f t="array" ref="D217">CA!O218</f>
        <v>0</v>
      </c>
      <c r="E217" s="23" cm="1">
        <f t="array" ref="E217">Quantity!C218</f>
        <v>0</v>
      </c>
      <c r="F217" s="25" cm="1">
        <f t="array" ref="F217">CA!C218</f>
        <v>0</v>
      </c>
      <c r="G217" s="26" cm="1">
        <f t="array" aca="1" ref="G217" ca="1">SUMIFS(Quantity!$C218:$AH218,Quantity!$C$7:$AH$7,H$6,Quantity!$C$8:$AH$8,TRUE)</f>
        <v>0</v>
      </c>
      <c r="H217" s="24" cm="1">
        <f t="array" aca="1" ref="H217" ca="1">SUMIFS(CA!$C218:$AQ218,CA!$C$7:$AQ$7,H$6,CA!$C$8:$AQ$8,TRUE)</f>
        <v>0</v>
      </c>
      <c r="I217" s="23" cm="1">
        <f t="array" aca="1" ref="I217" ca="1">SUMIFS(Quantity!$C218:$AH218,Quantity!$C$7:$AH$7,J$6,Quantity!$C$8:$AH$8,TRUE)</f>
        <v>0</v>
      </c>
      <c r="J217" s="25" cm="1">
        <f t="array" aca="1" ref="J217" ca="1">SUMIFS(CA!$C218:$AQ218,CA!$C$7:$AQ$7,J$6,CA!$C$8:$AQ$8,TRUE)</f>
        <v>0</v>
      </c>
      <c r="K217" s="26" t="str" cm="1">
        <f t="array" ref="K217">IF(SUM(Quantity!O218:Z218)=0,"",SUM(Quantity!O218:Z218))</f>
        <v/>
      </c>
      <c r="L217" s="24" t="str" cm="1">
        <f t="array" ref="L217">IF(SUM(CA!O218:Z218)=0,"",SUM(CA!O218:Z218))</f>
        <v/>
      </c>
      <c r="M217" s="23" t="str" cm="1">
        <f t="array" ref="M217">IF(SUM(Quantity!C218:N218)=0,"",SUM(Quantity!C218:N218))</f>
        <v/>
      </c>
      <c r="N217" s="25" t="str" cm="1">
        <f t="array" ref="N217">IF(SUM(CA!C218:N218)=0,"",SUM(CA!C218:N218))</f>
        <v/>
      </c>
    </row>
    <row r="218" spans="1:14" x14ac:dyDescent="0.25">
      <c r="A218" s="1"/>
      <c r="B218" s="22" cm="1">
        <f t="array" ref="B218">Quantity!B219</f>
        <v>0</v>
      </c>
      <c r="C218" s="23" cm="1">
        <f t="array" ref="C218">Quantity!O219</f>
        <v>0</v>
      </c>
      <c r="D218" s="24" cm="1">
        <f t="array" ref="D218">CA!O219</f>
        <v>0</v>
      </c>
      <c r="E218" s="23" cm="1">
        <f t="array" ref="E218">Quantity!C219</f>
        <v>0</v>
      </c>
      <c r="F218" s="25" cm="1">
        <f t="array" ref="F218">CA!C219</f>
        <v>0</v>
      </c>
      <c r="G218" s="26" cm="1">
        <f t="array" aca="1" ref="G218" ca="1">SUMIFS(Quantity!$C219:$AH219,Quantity!$C$7:$AH$7,H$6,Quantity!$C$8:$AH$8,TRUE)</f>
        <v>0</v>
      </c>
      <c r="H218" s="24" cm="1">
        <f t="array" aca="1" ref="H218" ca="1">SUMIFS(CA!$C219:$AQ219,CA!$C$7:$AQ$7,H$6,CA!$C$8:$AQ$8,TRUE)</f>
        <v>0</v>
      </c>
      <c r="I218" s="23" cm="1">
        <f t="array" aca="1" ref="I218" ca="1">SUMIFS(Quantity!$C219:$AH219,Quantity!$C$7:$AH$7,J$6,Quantity!$C$8:$AH$8,TRUE)</f>
        <v>0</v>
      </c>
      <c r="J218" s="25" cm="1">
        <f t="array" aca="1" ref="J218" ca="1">SUMIFS(CA!$C219:$AQ219,CA!$C$7:$AQ$7,J$6,CA!$C$8:$AQ$8,TRUE)</f>
        <v>0</v>
      </c>
      <c r="K218" s="26" t="str" cm="1">
        <f t="array" ref="K218">IF(SUM(Quantity!O219:Z219)=0,"",SUM(Quantity!O219:Z219))</f>
        <v/>
      </c>
      <c r="L218" s="24" t="str" cm="1">
        <f t="array" ref="L218">IF(SUM(CA!O219:Z219)=0,"",SUM(CA!O219:Z219))</f>
        <v/>
      </c>
      <c r="M218" s="23" t="str" cm="1">
        <f t="array" ref="M218">IF(SUM(Quantity!C219:N219)=0,"",SUM(Quantity!C219:N219))</f>
        <v/>
      </c>
      <c r="N218" s="25" t="str" cm="1">
        <f t="array" ref="N218">IF(SUM(CA!C219:N219)=0,"",SUM(CA!C219:N219))</f>
        <v/>
      </c>
    </row>
    <row r="219" spans="1:14" x14ac:dyDescent="0.25">
      <c r="A219" s="1"/>
      <c r="B219" s="22" cm="1">
        <f t="array" ref="B219">Quantity!B220</f>
        <v>0</v>
      </c>
      <c r="C219" s="23" cm="1">
        <f t="array" ref="C219">Quantity!O220</f>
        <v>0</v>
      </c>
      <c r="D219" s="24" cm="1">
        <f t="array" ref="D219">CA!O220</f>
        <v>0</v>
      </c>
      <c r="E219" s="23" cm="1">
        <f t="array" ref="E219">Quantity!C220</f>
        <v>0</v>
      </c>
      <c r="F219" s="25" cm="1">
        <f t="array" ref="F219">CA!C220</f>
        <v>0</v>
      </c>
      <c r="G219" s="26" cm="1">
        <f t="array" aca="1" ref="G219" ca="1">SUMIFS(Quantity!$C220:$AH220,Quantity!$C$7:$AH$7,H$6,Quantity!$C$8:$AH$8,TRUE)</f>
        <v>0</v>
      </c>
      <c r="H219" s="24" cm="1">
        <f t="array" aca="1" ref="H219" ca="1">SUMIFS(CA!$C220:$AQ220,CA!$C$7:$AQ$7,H$6,CA!$C$8:$AQ$8,TRUE)</f>
        <v>0</v>
      </c>
      <c r="I219" s="23" cm="1">
        <f t="array" aca="1" ref="I219" ca="1">SUMIFS(Quantity!$C220:$AH220,Quantity!$C$7:$AH$7,J$6,Quantity!$C$8:$AH$8,TRUE)</f>
        <v>0</v>
      </c>
      <c r="J219" s="25" cm="1">
        <f t="array" aca="1" ref="J219" ca="1">SUMIFS(CA!$C220:$AQ220,CA!$C$7:$AQ$7,J$6,CA!$C$8:$AQ$8,TRUE)</f>
        <v>0</v>
      </c>
      <c r="K219" s="26" t="str" cm="1">
        <f t="array" ref="K219">IF(SUM(Quantity!O220:Z220)=0,"",SUM(Quantity!O220:Z220))</f>
        <v/>
      </c>
      <c r="L219" s="24" t="str" cm="1">
        <f t="array" ref="L219">IF(SUM(CA!O220:Z220)=0,"",SUM(CA!O220:Z220))</f>
        <v/>
      </c>
      <c r="M219" s="23" t="str" cm="1">
        <f t="array" ref="M219">IF(SUM(Quantity!C220:N220)=0,"",SUM(Quantity!C220:N220))</f>
        <v/>
      </c>
      <c r="N219" s="25" t="str" cm="1">
        <f t="array" ref="N219">IF(SUM(CA!C220:N220)=0,"",SUM(CA!C220:N220))</f>
        <v/>
      </c>
    </row>
    <row r="220" spans="1:14" x14ac:dyDescent="0.25">
      <c r="A220" s="1"/>
      <c r="B220" s="22" cm="1">
        <f t="array" ref="B220">Quantity!B221</f>
        <v>0</v>
      </c>
      <c r="C220" s="23" cm="1">
        <f t="array" ref="C220">Quantity!O221</f>
        <v>0</v>
      </c>
      <c r="D220" s="24" cm="1">
        <f t="array" ref="D220">CA!O221</f>
        <v>0</v>
      </c>
      <c r="E220" s="23" cm="1">
        <f t="array" ref="E220">Quantity!C221</f>
        <v>0</v>
      </c>
      <c r="F220" s="25" cm="1">
        <f t="array" ref="F220">CA!C221</f>
        <v>0</v>
      </c>
      <c r="G220" s="26" cm="1">
        <f t="array" aca="1" ref="G220" ca="1">SUMIFS(Quantity!$C221:$AH221,Quantity!$C$7:$AH$7,H$6,Quantity!$C$8:$AH$8,TRUE)</f>
        <v>0</v>
      </c>
      <c r="H220" s="24" cm="1">
        <f t="array" aca="1" ref="H220" ca="1">SUMIFS(CA!$C221:$AQ221,CA!$C$7:$AQ$7,H$6,CA!$C$8:$AQ$8,TRUE)</f>
        <v>0</v>
      </c>
      <c r="I220" s="23" cm="1">
        <f t="array" aca="1" ref="I220" ca="1">SUMIFS(Quantity!$C221:$AH221,Quantity!$C$7:$AH$7,J$6,Quantity!$C$8:$AH$8,TRUE)</f>
        <v>0</v>
      </c>
      <c r="J220" s="25" cm="1">
        <f t="array" aca="1" ref="J220" ca="1">SUMIFS(CA!$C221:$AQ221,CA!$C$7:$AQ$7,J$6,CA!$C$8:$AQ$8,TRUE)</f>
        <v>0</v>
      </c>
      <c r="K220" s="26" t="str" cm="1">
        <f t="array" ref="K220">IF(SUM(Quantity!O221:Z221)=0,"",SUM(Quantity!O221:Z221))</f>
        <v/>
      </c>
      <c r="L220" s="24" t="str" cm="1">
        <f t="array" ref="L220">IF(SUM(CA!O221:Z221)=0,"",SUM(CA!O221:Z221))</f>
        <v/>
      </c>
      <c r="M220" s="23" t="str" cm="1">
        <f t="array" ref="M220">IF(SUM(Quantity!C221:N221)=0,"",SUM(Quantity!C221:N221))</f>
        <v/>
      </c>
      <c r="N220" s="25" t="str" cm="1">
        <f t="array" ref="N220">IF(SUM(CA!C221:N221)=0,"",SUM(CA!C221:N221))</f>
        <v/>
      </c>
    </row>
    <row r="221" spans="1:14" x14ac:dyDescent="0.25">
      <c r="A221" s="1"/>
      <c r="B221" s="22" cm="1">
        <f t="array" ref="B221">Quantity!B222</f>
        <v>0</v>
      </c>
      <c r="C221" s="23" cm="1">
        <f t="array" ref="C221">Quantity!O222</f>
        <v>0</v>
      </c>
      <c r="D221" s="24" cm="1">
        <f t="array" ref="D221">CA!O222</f>
        <v>0</v>
      </c>
      <c r="E221" s="23" cm="1">
        <f t="array" ref="E221">Quantity!C222</f>
        <v>0</v>
      </c>
      <c r="F221" s="25" cm="1">
        <f t="array" ref="F221">CA!C222</f>
        <v>0</v>
      </c>
      <c r="G221" s="26" cm="1">
        <f t="array" aca="1" ref="G221" ca="1">SUMIFS(Quantity!$C222:$AH222,Quantity!$C$7:$AH$7,H$6,Quantity!$C$8:$AH$8,TRUE)</f>
        <v>0</v>
      </c>
      <c r="H221" s="24" cm="1">
        <f t="array" aca="1" ref="H221" ca="1">SUMIFS(CA!$C222:$AQ222,CA!$C$7:$AQ$7,H$6,CA!$C$8:$AQ$8,TRUE)</f>
        <v>0</v>
      </c>
      <c r="I221" s="23" cm="1">
        <f t="array" aca="1" ref="I221" ca="1">SUMIFS(Quantity!$C222:$AH222,Quantity!$C$7:$AH$7,J$6,Quantity!$C$8:$AH$8,TRUE)</f>
        <v>0</v>
      </c>
      <c r="J221" s="25" cm="1">
        <f t="array" aca="1" ref="J221" ca="1">SUMIFS(CA!$C222:$AQ222,CA!$C$7:$AQ$7,J$6,CA!$C$8:$AQ$8,TRUE)</f>
        <v>0</v>
      </c>
      <c r="K221" s="26" t="str" cm="1">
        <f t="array" ref="K221">IF(SUM(Quantity!O222:Z222)=0,"",SUM(Quantity!O222:Z222))</f>
        <v/>
      </c>
      <c r="L221" s="24" t="str" cm="1">
        <f t="array" ref="L221">IF(SUM(CA!O222:Z222)=0,"",SUM(CA!O222:Z222))</f>
        <v/>
      </c>
      <c r="M221" s="23" t="str" cm="1">
        <f t="array" ref="M221">IF(SUM(Quantity!C222:N222)=0,"",SUM(Quantity!C222:N222))</f>
        <v/>
      </c>
      <c r="N221" s="25" t="str" cm="1">
        <f t="array" ref="N221">IF(SUM(CA!C222:N222)=0,"",SUM(CA!C222:N222))</f>
        <v/>
      </c>
    </row>
    <row r="222" spans="1:14" x14ac:dyDescent="0.25">
      <c r="A222" s="1"/>
      <c r="B222" s="22" cm="1">
        <f t="array" ref="B222">Quantity!B223</f>
        <v>0</v>
      </c>
      <c r="C222" s="23" cm="1">
        <f t="array" ref="C222">Quantity!O223</f>
        <v>0</v>
      </c>
      <c r="D222" s="24" cm="1">
        <f t="array" ref="D222">CA!O223</f>
        <v>0</v>
      </c>
      <c r="E222" s="23" cm="1">
        <f t="array" ref="E222">Quantity!C223</f>
        <v>0</v>
      </c>
      <c r="F222" s="25" cm="1">
        <f t="array" ref="F222">CA!C223</f>
        <v>0</v>
      </c>
      <c r="G222" s="26" cm="1">
        <f t="array" aca="1" ref="G222" ca="1">SUMIFS(Quantity!$C223:$AH223,Quantity!$C$7:$AH$7,H$6,Quantity!$C$8:$AH$8,TRUE)</f>
        <v>0</v>
      </c>
      <c r="H222" s="24" cm="1">
        <f t="array" aca="1" ref="H222" ca="1">SUMIFS(CA!$C223:$AQ223,CA!$C$7:$AQ$7,H$6,CA!$C$8:$AQ$8,TRUE)</f>
        <v>0</v>
      </c>
      <c r="I222" s="23" cm="1">
        <f t="array" aca="1" ref="I222" ca="1">SUMIFS(Quantity!$C223:$AH223,Quantity!$C$7:$AH$7,J$6,Quantity!$C$8:$AH$8,TRUE)</f>
        <v>0</v>
      </c>
      <c r="J222" s="25" cm="1">
        <f t="array" aca="1" ref="J222" ca="1">SUMIFS(CA!$C223:$AQ223,CA!$C$7:$AQ$7,J$6,CA!$C$8:$AQ$8,TRUE)</f>
        <v>0</v>
      </c>
      <c r="K222" s="26" t="str" cm="1">
        <f t="array" ref="K222">IF(SUM(Quantity!O223:Z223)=0,"",SUM(Quantity!O223:Z223))</f>
        <v/>
      </c>
      <c r="L222" s="24" t="str" cm="1">
        <f t="array" ref="L222">IF(SUM(CA!O223:Z223)=0,"",SUM(CA!O223:Z223))</f>
        <v/>
      </c>
      <c r="M222" s="23" t="str" cm="1">
        <f t="array" ref="M222">IF(SUM(Quantity!C223:N223)=0,"",SUM(Quantity!C223:N223))</f>
        <v/>
      </c>
      <c r="N222" s="25" t="str" cm="1">
        <f t="array" ref="N222">IF(SUM(CA!C223:N223)=0,"",SUM(CA!C223:N223))</f>
        <v/>
      </c>
    </row>
    <row r="223" spans="1:14" x14ac:dyDescent="0.25">
      <c r="A223" s="1"/>
      <c r="B223" s="22" cm="1">
        <f t="array" ref="B223">Quantity!B224</f>
        <v>0</v>
      </c>
      <c r="C223" s="23" cm="1">
        <f t="array" ref="C223">Quantity!O224</f>
        <v>0</v>
      </c>
      <c r="D223" s="24" cm="1">
        <f t="array" ref="D223">CA!O224</f>
        <v>0</v>
      </c>
      <c r="E223" s="23" cm="1">
        <f t="array" ref="E223">Quantity!C224</f>
        <v>0</v>
      </c>
      <c r="F223" s="25" cm="1">
        <f t="array" ref="F223">CA!C224</f>
        <v>0</v>
      </c>
      <c r="G223" s="26" cm="1">
        <f t="array" aca="1" ref="G223" ca="1">SUMIFS(Quantity!$C224:$AH224,Quantity!$C$7:$AH$7,H$6,Quantity!$C$8:$AH$8,TRUE)</f>
        <v>0</v>
      </c>
      <c r="H223" s="24" cm="1">
        <f t="array" aca="1" ref="H223" ca="1">SUMIFS(CA!$C224:$AQ224,CA!$C$7:$AQ$7,H$6,CA!$C$8:$AQ$8,TRUE)</f>
        <v>0</v>
      </c>
      <c r="I223" s="23" cm="1">
        <f t="array" aca="1" ref="I223" ca="1">SUMIFS(Quantity!$C224:$AH224,Quantity!$C$7:$AH$7,J$6,Quantity!$C$8:$AH$8,TRUE)</f>
        <v>0</v>
      </c>
      <c r="J223" s="25" cm="1">
        <f t="array" aca="1" ref="J223" ca="1">SUMIFS(CA!$C224:$AQ224,CA!$C$7:$AQ$7,J$6,CA!$C$8:$AQ$8,TRUE)</f>
        <v>0</v>
      </c>
      <c r="K223" s="26" t="str" cm="1">
        <f t="array" ref="K223">IF(SUM(Quantity!O224:Z224)=0,"",SUM(Quantity!O224:Z224))</f>
        <v/>
      </c>
      <c r="L223" s="24" t="str" cm="1">
        <f t="array" ref="L223">IF(SUM(CA!O224:Z224)=0,"",SUM(CA!O224:Z224))</f>
        <v/>
      </c>
      <c r="M223" s="23" t="str" cm="1">
        <f t="array" ref="M223">IF(SUM(Quantity!C224:N224)=0,"",SUM(Quantity!C224:N224))</f>
        <v/>
      </c>
      <c r="N223" s="25" t="str" cm="1">
        <f t="array" ref="N223">IF(SUM(CA!C224:N224)=0,"",SUM(CA!C224:N224))</f>
        <v/>
      </c>
    </row>
    <row r="224" spans="1:14" x14ac:dyDescent="0.25">
      <c r="A224" s="1"/>
      <c r="B224" s="22" cm="1">
        <f t="array" ref="B224">Quantity!B225</f>
        <v>0</v>
      </c>
      <c r="C224" s="23" cm="1">
        <f t="array" ref="C224">Quantity!O225</f>
        <v>0</v>
      </c>
      <c r="D224" s="24" cm="1">
        <f t="array" ref="D224">CA!O225</f>
        <v>0</v>
      </c>
      <c r="E224" s="23" cm="1">
        <f t="array" ref="E224">Quantity!C225</f>
        <v>0</v>
      </c>
      <c r="F224" s="25" cm="1">
        <f t="array" ref="F224">CA!C225</f>
        <v>0</v>
      </c>
      <c r="G224" s="26" cm="1">
        <f t="array" aca="1" ref="G224" ca="1">SUMIFS(Quantity!$C225:$AH225,Quantity!$C$7:$AH$7,H$6,Quantity!$C$8:$AH$8,TRUE)</f>
        <v>0</v>
      </c>
      <c r="H224" s="24" cm="1">
        <f t="array" aca="1" ref="H224" ca="1">SUMIFS(CA!$C225:$AQ225,CA!$C$7:$AQ$7,H$6,CA!$C$8:$AQ$8,TRUE)</f>
        <v>0</v>
      </c>
      <c r="I224" s="23" cm="1">
        <f t="array" aca="1" ref="I224" ca="1">SUMIFS(Quantity!$C225:$AH225,Quantity!$C$7:$AH$7,J$6,Quantity!$C$8:$AH$8,TRUE)</f>
        <v>0</v>
      </c>
      <c r="J224" s="25" cm="1">
        <f t="array" aca="1" ref="J224" ca="1">SUMIFS(CA!$C225:$AQ225,CA!$C$7:$AQ$7,J$6,CA!$C$8:$AQ$8,TRUE)</f>
        <v>0</v>
      </c>
      <c r="K224" s="26" t="str" cm="1">
        <f t="array" ref="K224">IF(SUM(Quantity!O225:Z225)=0,"",SUM(Quantity!O225:Z225))</f>
        <v/>
      </c>
      <c r="L224" s="24" t="str" cm="1">
        <f t="array" ref="L224">IF(SUM(CA!O225:Z225)=0,"",SUM(CA!O225:Z225))</f>
        <v/>
      </c>
      <c r="M224" s="23" t="str" cm="1">
        <f t="array" ref="M224">IF(SUM(Quantity!C225:N225)=0,"",SUM(Quantity!C225:N225))</f>
        <v/>
      </c>
      <c r="N224" s="25" t="str" cm="1">
        <f t="array" ref="N224">IF(SUM(CA!C225:N225)=0,"",SUM(CA!C225:N225))</f>
        <v/>
      </c>
    </row>
    <row r="225" spans="1:14" x14ac:dyDescent="0.25">
      <c r="A225" s="1"/>
      <c r="B225" s="22" cm="1">
        <f t="array" ref="B225">Quantity!B226</f>
        <v>0</v>
      </c>
      <c r="C225" s="23" cm="1">
        <f t="array" ref="C225">Quantity!O226</f>
        <v>0</v>
      </c>
      <c r="D225" s="24" cm="1">
        <f t="array" ref="D225">CA!O226</f>
        <v>0</v>
      </c>
      <c r="E225" s="23" cm="1">
        <f t="array" ref="E225">Quantity!C226</f>
        <v>0</v>
      </c>
      <c r="F225" s="25" cm="1">
        <f t="array" ref="F225">CA!C226</f>
        <v>0</v>
      </c>
      <c r="G225" s="26" cm="1">
        <f t="array" aca="1" ref="G225" ca="1">SUMIFS(Quantity!$C226:$AH226,Quantity!$C$7:$AH$7,H$6,Quantity!$C$8:$AH$8,TRUE)</f>
        <v>0</v>
      </c>
      <c r="H225" s="24" cm="1">
        <f t="array" aca="1" ref="H225" ca="1">SUMIFS(CA!$C226:$AQ226,CA!$C$7:$AQ$7,H$6,CA!$C$8:$AQ$8,TRUE)</f>
        <v>0</v>
      </c>
      <c r="I225" s="23" cm="1">
        <f t="array" aca="1" ref="I225" ca="1">SUMIFS(Quantity!$C226:$AH226,Quantity!$C$7:$AH$7,J$6,Quantity!$C$8:$AH$8,TRUE)</f>
        <v>0</v>
      </c>
      <c r="J225" s="25" cm="1">
        <f t="array" aca="1" ref="J225" ca="1">SUMIFS(CA!$C226:$AQ226,CA!$C$7:$AQ$7,J$6,CA!$C$8:$AQ$8,TRUE)</f>
        <v>0</v>
      </c>
      <c r="K225" s="26" t="str" cm="1">
        <f t="array" ref="K225">IF(SUM(Quantity!O226:Z226)=0,"",SUM(Quantity!O226:Z226))</f>
        <v/>
      </c>
      <c r="L225" s="24" t="str" cm="1">
        <f t="array" ref="L225">IF(SUM(CA!O226:Z226)=0,"",SUM(CA!O226:Z226))</f>
        <v/>
      </c>
      <c r="M225" s="23" t="str" cm="1">
        <f t="array" ref="M225">IF(SUM(Quantity!C226:N226)=0,"",SUM(Quantity!C226:N226))</f>
        <v/>
      </c>
      <c r="N225" s="25" t="str" cm="1">
        <f t="array" ref="N225">IF(SUM(CA!C226:N226)=0,"",SUM(CA!C226:N226))</f>
        <v/>
      </c>
    </row>
    <row r="226" spans="1:14" x14ac:dyDescent="0.25">
      <c r="A226" s="1"/>
      <c r="B226" s="22" cm="1">
        <f t="array" ref="B226">Quantity!B227</f>
        <v>0</v>
      </c>
      <c r="C226" s="23" cm="1">
        <f t="array" ref="C226">Quantity!O227</f>
        <v>0</v>
      </c>
      <c r="D226" s="24" cm="1">
        <f t="array" ref="D226">CA!O227</f>
        <v>0</v>
      </c>
      <c r="E226" s="23" cm="1">
        <f t="array" ref="E226">Quantity!C227</f>
        <v>0</v>
      </c>
      <c r="F226" s="25" cm="1">
        <f t="array" ref="F226">CA!C227</f>
        <v>0</v>
      </c>
      <c r="G226" s="26" cm="1">
        <f t="array" aca="1" ref="G226" ca="1">SUMIFS(Quantity!$C227:$AH227,Quantity!$C$7:$AH$7,H$6,Quantity!$C$8:$AH$8,TRUE)</f>
        <v>0</v>
      </c>
      <c r="H226" s="24" cm="1">
        <f t="array" aca="1" ref="H226" ca="1">SUMIFS(CA!$C227:$AQ227,CA!$C$7:$AQ$7,H$6,CA!$C$8:$AQ$8,TRUE)</f>
        <v>0</v>
      </c>
      <c r="I226" s="23" cm="1">
        <f t="array" aca="1" ref="I226" ca="1">SUMIFS(Quantity!$C227:$AH227,Quantity!$C$7:$AH$7,J$6,Quantity!$C$8:$AH$8,TRUE)</f>
        <v>0</v>
      </c>
      <c r="J226" s="25" cm="1">
        <f t="array" aca="1" ref="J226" ca="1">SUMIFS(CA!$C227:$AQ227,CA!$C$7:$AQ$7,J$6,CA!$C$8:$AQ$8,TRUE)</f>
        <v>0</v>
      </c>
      <c r="K226" s="26" t="str" cm="1">
        <f t="array" ref="K226">IF(SUM(Quantity!O227:Z227)=0,"",SUM(Quantity!O227:Z227))</f>
        <v/>
      </c>
      <c r="L226" s="24" t="str" cm="1">
        <f t="array" ref="L226">IF(SUM(CA!O227:Z227)=0,"",SUM(CA!O227:Z227))</f>
        <v/>
      </c>
      <c r="M226" s="23" t="str" cm="1">
        <f t="array" ref="M226">IF(SUM(Quantity!C227:N227)=0,"",SUM(Quantity!C227:N227))</f>
        <v/>
      </c>
      <c r="N226" s="25" t="str" cm="1">
        <f t="array" ref="N226">IF(SUM(CA!C227:N227)=0,"",SUM(CA!C227:N227))</f>
        <v/>
      </c>
    </row>
    <row r="227" spans="1:14" x14ac:dyDescent="0.25">
      <c r="A227" s="1"/>
      <c r="B227" s="22" cm="1">
        <f t="array" ref="B227">Quantity!B228</f>
        <v>0</v>
      </c>
      <c r="C227" s="23" cm="1">
        <f t="array" ref="C227">Quantity!O228</f>
        <v>0</v>
      </c>
      <c r="D227" s="24" cm="1">
        <f t="array" ref="D227">CA!O228</f>
        <v>0</v>
      </c>
      <c r="E227" s="23" cm="1">
        <f t="array" ref="E227">Quantity!C228</f>
        <v>0</v>
      </c>
      <c r="F227" s="25" cm="1">
        <f t="array" ref="F227">CA!C228</f>
        <v>0</v>
      </c>
      <c r="G227" s="26" cm="1">
        <f t="array" aca="1" ref="G227" ca="1">SUMIFS(Quantity!$C228:$AH228,Quantity!$C$7:$AH$7,H$6,Quantity!$C$8:$AH$8,TRUE)</f>
        <v>0</v>
      </c>
      <c r="H227" s="24" cm="1">
        <f t="array" aca="1" ref="H227" ca="1">SUMIFS(CA!$C228:$AQ228,CA!$C$7:$AQ$7,H$6,CA!$C$8:$AQ$8,TRUE)</f>
        <v>0</v>
      </c>
      <c r="I227" s="23" cm="1">
        <f t="array" aca="1" ref="I227" ca="1">SUMIFS(Quantity!$C228:$AH228,Quantity!$C$7:$AH$7,J$6,Quantity!$C$8:$AH$8,TRUE)</f>
        <v>0</v>
      </c>
      <c r="J227" s="25" cm="1">
        <f t="array" aca="1" ref="J227" ca="1">SUMIFS(CA!$C228:$AQ228,CA!$C$7:$AQ$7,J$6,CA!$C$8:$AQ$8,TRUE)</f>
        <v>0</v>
      </c>
      <c r="K227" s="26" t="str" cm="1">
        <f t="array" ref="K227">IF(SUM(Quantity!O228:Z228)=0,"",SUM(Quantity!O228:Z228))</f>
        <v/>
      </c>
      <c r="L227" s="24" t="str" cm="1">
        <f t="array" ref="L227">IF(SUM(CA!O228:Z228)=0,"",SUM(CA!O228:Z228))</f>
        <v/>
      </c>
      <c r="M227" s="23" t="str" cm="1">
        <f t="array" ref="M227">IF(SUM(Quantity!C228:N228)=0,"",SUM(Quantity!C228:N228))</f>
        <v/>
      </c>
      <c r="N227" s="25" t="str" cm="1">
        <f t="array" ref="N227">IF(SUM(CA!C228:N228)=0,"",SUM(CA!C228:N228))</f>
        <v/>
      </c>
    </row>
    <row r="228" spans="1:14" x14ac:dyDescent="0.25">
      <c r="A228" s="1"/>
      <c r="B228" s="22" cm="1">
        <f t="array" ref="B228">Quantity!B229</f>
        <v>0</v>
      </c>
      <c r="C228" s="23" cm="1">
        <f t="array" ref="C228">Quantity!O229</f>
        <v>0</v>
      </c>
      <c r="D228" s="24" cm="1">
        <f t="array" ref="D228">CA!O229</f>
        <v>0</v>
      </c>
      <c r="E228" s="23" cm="1">
        <f t="array" ref="E228">Quantity!C229</f>
        <v>0</v>
      </c>
      <c r="F228" s="25" cm="1">
        <f t="array" ref="F228">CA!C229</f>
        <v>0</v>
      </c>
      <c r="G228" s="26" cm="1">
        <f t="array" aca="1" ref="G228" ca="1">SUMIFS(Quantity!$C229:$AH229,Quantity!$C$7:$AH$7,H$6,Quantity!$C$8:$AH$8,TRUE)</f>
        <v>0</v>
      </c>
      <c r="H228" s="24" cm="1">
        <f t="array" aca="1" ref="H228" ca="1">SUMIFS(CA!$C229:$AQ229,CA!$C$7:$AQ$7,H$6,CA!$C$8:$AQ$8,TRUE)</f>
        <v>0</v>
      </c>
      <c r="I228" s="23" cm="1">
        <f t="array" aca="1" ref="I228" ca="1">SUMIFS(Quantity!$C229:$AH229,Quantity!$C$7:$AH$7,J$6,Quantity!$C$8:$AH$8,TRUE)</f>
        <v>0</v>
      </c>
      <c r="J228" s="25" cm="1">
        <f t="array" aca="1" ref="J228" ca="1">SUMIFS(CA!$C229:$AQ229,CA!$C$7:$AQ$7,J$6,CA!$C$8:$AQ$8,TRUE)</f>
        <v>0</v>
      </c>
      <c r="K228" s="26" t="str" cm="1">
        <f t="array" ref="K228">IF(SUM(Quantity!O229:Z229)=0,"",SUM(Quantity!O229:Z229))</f>
        <v/>
      </c>
      <c r="L228" s="24" t="str" cm="1">
        <f t="array" ref="L228">IF(SUM(CA!O229:Z229)=0,"",SUM(CA!O229:Z229))</f>
        <v/>
      </c>
      <c r="M228" s="23" t="str" cm="1">
        <f t="array" ref="M228">IF(SUM(Quantity!C229:N229)=0,"",SUM(Quantity!C229:N229))</f>
        <v/>
      </c>
      <c r="N228" s="25" t="str" cm="1">
        <f t="array" ref="N228">IF(SUM(CA!C229:N229)=0,"",SUM(CA!C229:N229))</f>
        <v/>
      </c>
    </row>
    <row r="229" spans="1:14" x14ac:dyDescent="0.25">
      <c r="A229" s="1"/>
      <c r="B229" s="22" cm="1">
        <f t="array" ref="B229">Quantity!B230</f>
        <v>0</v>
      </c>
      <c r="C229" s="23" cm="1">
        <f t="array" ref="C229">Quantity!O230</f>
        <v>0</v>
      </c>
      <c r="D229" s="24" cm="1">
        <f t="array" ref="D229">CA!O230</f>
        <v>0</v>
      </c>
      <c r="E229" s="23" cm="1">
        <f t="array" ref="E229">Quantity!C230</f>
        <v>0</v>
      </c>
      <c r="F229" s="25" cm="1">
        <f t="array" ref="F229">CA!C230</f>
        <v>0</v>
      </c>
      <c r="G229" s="26" cm="1">
        <f t="array" aca="1" ref="G229" ca="1">SUMIFS(Quantity!$C230:$AH230,Quantity!$C$7:$AH$7,H$6,Quantity!$C$8:$AH$8,TRUE)</f>
        <v>0</v>
      </c>
      <c r="H229" s="24" cm="1">
        <f t="array" aca="1" ref="H229" ca="1">SUMIFS(CA!$C230:$AQ230,CA!$C$7:$AQ$7,H$6,CA!$C$8:$AQ$8,TRUE)</f>
        <v>0</v>
      </c>
      <c r="I229" s="23" cm="1">
        <f t="array" aca="1" ref="I229" ca="1">SUMIFS(Quantity!$C230:$AH230,Quantity!$C$7:$AH$7,J$6,Quantity!$C$8:$AH$8,TRUE)</f>
        <v>0</v>
      </c>
      <c r="J229" s="25" cm="1">
        <f t="array" aca="1" ref="J229" ca="1">SUMIFS(CA!$C230:$AQ230,CA!$C$7:$AQ$7,J$6,CA!$C$8:$AQ$8,TRUE)</f>
        <v>0</v>
      </c>
      <c r="K229" s="26" t="str" cm="1">
        <f t="array" ref="K229">IF(SUM(Quantity!O230:Z230)=0,"",SUM(Quantity!O230:Z230))</f>
        <v/>
      </c>
      <c r="L229" s="24" t="str" cm="1">
        <f t="array" ref="L229">IF(SUM(CA!O230:Z230)=0,"",SUM(CA!O230:Z230))</f>
        <v/>
      </c>
      <c r="M229" s="23" t="str" cm="1">
        <f t="array" ref="M229">IF(SUM(Quantity!C230:N230)=0,"",SUM(Quantity!C230:N230))</f>
        <v/>
      </c>
      <c r="N229" s="25" t="str" cm="1">
        <f t="array" ref="N229">IF(SUM(CA!C230:N230)=0,"",SUM(CA!C230:N230))</f>
        <v/>
      </c>
    </row>
    <row r="230" spans="1:14" x14ac:dyDescent="0.25">
      <c r="A230" s="1"/>
      <c r="B230" s="22" cm="1">
        <f t="array" ref="B230">Quantity!B231</f>
        <v>0</v>
      </c>
      <c r="C230" s="23" cm="1">
        <f t="array" ref="C230">Quantity!O231</f>
        <v>0</v>
      </c>
      <c r="D230" s="24" cm="1">
        <f t="array" ref="D230">CA!O231</f>
        <v>0</v>
      </c>
      <c r="E230" s="23" cm="1">
        <f t="array" ref="E230">Quantity!C231</f>
        <v>0</v>
      </c>
      <c r="F230" s="25" cm="1">
        <f t="array" ref="F230">CA!C231</f>
        <v>0</v>
      </c>
      <c r="G230" s="26" cm="1">
        <f t="array" aca="1" ref="G230" ca="1">SUMIFS(Quantity!$C231:$AH231,Quantity!$C$7:$AH$7,H$6,Quantity!$C$8:$AH$8,TRUE)</f>
        <v>0</v>
      </c>
      <c r="H230" s="24" cm="1">
        <f t="array" aca="1" ref="H230" ca="1">SUMIFS(CA!$C231:$AQ231,CA!$C$7:$AQ$7,H$6,CA!$C$8:$AQ$8,TRUE)</f>
        <v>0</v>
      </c>
      <c r="I230" s="23" cm="1">
        <f t="array" aca="1" ref="I230" ca="1">SUMIFS(Quantity!$C231:$AH231,Quantity!$C$7:$AH$7,J$6,Quantity!$C$8:$AH$8,TRUE)</f>
        <v>0</v>
      </c>
      <c r="J230" s="25" cm="1">
        <f t="array" aca="1" ref="J230" ca="1">SUMIFS(CA!$C231:$AQ231,CA!$C$7:$AQ$7,J$6,CA!$C$8:$AQ$8,TRUE)</f>
        <v>0</v>
      </c>
      <c r="K230" s="26" t="str" cm="1">
        <f t="array" ref="K230">IF(SUM(Quantity!O231:Z231)=0,"",SUM(Quantity!O231:Z231))</f>
        <v/>
      </c>
      <c r="L230" s="24" t="str" cm="1">
        <f t="array" ref="L230">IF(SUM(CA!O231:Z231)=0,"",SUM(CA!O231:Z231))</f>
        <v/>
      </c>
      <c r="M230" s="23" t="str" cm="1">
        <f t="array" ref="M230">IF(SUM(Quantity!C231:N231)=0,"",SUM(Quantity!C231:N231))</f>
        <v/>
      </c>
      <c r="N230" s="25" t="str" cm="1">
        <f t="array" ref="N230">IF(SUM(CA!C231:N231)=0,"",SUM(CA!C231:N231))</f>
        <v/>
      </c>
    </row>
    <row r="231" spans="1:14" x14ac:dyDescent="0.25">
      <c r="A231" s="1"/>
      <c r="B231" s="22" cm="1">
        <f t="array" ref="B231">Quantity!B232</f>
        <v>0</v>
      </c>
      <c r="C231" s="23" cm="1">
        <f t="array" ref="C231">Quantity!O232</f>
        <v>0</v>
      </c>
      <c r="D231" s="24" cm="1">
        <f t="array" ref="D231">CA!O232</f>
        <v>0</v>
      </c>
      <c r="E231" s="23" cm="1">
        <f t="array" ref="E231">Quantity!C232</f>
        <v>0</v>
      </c>
      <c r="F231" s="25" cm="1">
        <f t="array" ref="F231">CA!C232</f>
        <v>0</v>
      </c>
      <c r="G231" s="26" cm="1">
        <f t="array" aca="1" ref="G231" ca="1">SUMIFS(Quantity!$C232:$AH232,Quantity!$C$7:$AH$7,H$6,Quantity!$C$8:$AH$8,TRUE)</f>
        <v>0</v>
      </c>
      <c r="H231" s="24" cm="1">
        <f t="array" aca="1" ref="H231" ca="1">SUMIFS(CA!$C232:$AQ232,CA!$C$7:$AQ$7,H$6,CA!$C$8:$AQ$8,TRUE)</f>
        <v>0</v>
      </c>
      <c r="I231" s="23" cm="1">
        <f t="array" aca="1" ref="I231" ca="1">SUMIFS(Quantity!$C232:$AH232,Quantity!$C$7:$AH$7,J$6,Quantity!$C$8:$AH$8,TRUE)</f>
        <v>0</v>
      </c>
      <c r="J231" s="25" cm="1">
        <f t="array" aca="1" ref="J231" ca="1">SUMIFS(CA!$C232:$AQ232,CA!$C$7:$AQ$7,J$6,CA!$C$8:$AQ$8,TRUE)</f>
        <v>0</v>
      </c>
      <c r="K231" s="26" t="str" cm="1">
        <f t="array" ref="K231">IF(SUM(Quantity!O232:Z232)=0,"",SUM(Quantity!O232:Z232))</f>
        <v/>
      </c>
      <c r="L231" s="24" t="str" cm="1">
        <f t="array" ref="L231">IF(SUM(CA!O232:Z232)=0,"",SUM(CA!O232:Z232))</f>
        <v/>
      </c>
      <c r="M231" s="23" t="str" cm="1">
        <f t="array" ref="M231">IF(SUM(Quantity!C232:N232)=0,"",SUM(Quantity!C232:N232))</f>
        <v/>
      </c>
      <c r="N231" s="25" t="str" cm="1">
        <f t="array" ref="N231">IF(SUM(CA!C232:N232)=0,"",SUM(CA!C232:N232))</f>
        <v/>
      </c>
    </row>
    <row r="232" spans="1:14" x14ac:dyDescent="0.25">
      <c r="A232" s="1"/>
      <c r="B232" s="22" cm="1">
        <f t="array" ref="B232">Quantity!B233</f>
        <v>0</v>
      </c>
      <c r="C232" s="23" cm="1">
        <f t="array" ref="C232">Quantity!O233</f>
        <v>0</v>
      </c>
      <c r="D232" s="24" cm="1">
        <f t="array" ref="D232">CA!O233</f>
        <v>0</v>
      </c>
      <c r="E232" s="23" cm="1">
        <f t="array" ref="E232">Quantity!C233</f>
        <v>0</v>
      </c>
      <c r="F232" s="25" cm="1">
        <f t="array" ref="F232">CA!C233</f>
        <v>0</v>
      </c>
      <c r="G232" s="26" cm="1">
        <f t="array" aca="1" ref="G232" ca="1">SUMIFS(Quantity!$C233:$AH233,Quantity!$C$7:$AH$7,H$6,Quantity!$C$8:$AH$8,TRUE)</f>
        <v>0</v>
      </c>
      <c r="H232" s="24" cm="1">
        <f t="array" aca="1" ref="H232" ca="1">SUMIFS(CA!$C233:$AQ233,CA!$C$7:$AQ$7,H$6,CA!$C$8:$AQ$8,TRUE)</f>
        <v>0</v>
      </c>
      <c r="I232" s="23" cm="1">
        <f t="array" aca="1" ref="I232" ca="1">SUMIFS(Quantity!$C233:$AH233,Quantity!$C$7:$AH$7,J$6,Quantity!$C$8:$AH$8,TRUE)</f>
        <v>0</v>
      </c>
      <c r="J232" s="25" cm="1">
        <f t="array" aca="1" ref="J232" ca="1">SUMIFS(CA!$C233:$AQ233,CA!$C$7:$AQ$7,J$6,CA!$C$8:$AQ$8,TRUE)</f>
        <v>0</v>
      </c>
      <c r="K232" s="26" t="str" cm="1">
        <f t="array" ref="K232">IF(SUM(Quantity!O233:Z233)=0,"",SUM(Quantity!O233:Z233))</f>
        <v/>
      </c>
      <c r="L232" s="24" t="str" cm="1">
        <f t="array" ref="L232">IF(SUM(CA!O233:Z233)=0,"",SUM(CA!O233:Z233))</f>
        <v/>
      </c>
      <c r="M232" s="23" t="str" cm="1">
        <f t="array" ref="M232">IF(SUM(Quantity!C233:N233)=0,"",SUM(Quantity!C233:N233))</f>
        <v/>
      </c>
      <c r="N232" s="25" t="str" cm="1">
        <f t="array" ref="N232">IF(SUM(CA!C233:N233)=0,"",SUM(CA!C233:N233))</f>
        <v/>
      </c>
    </row>
    <row r="233" spans="1:14" x14ac:dyDescent="0.25">
      <c r="A233" s="1"/>
      <c r="B233" s="22" cm="1">
        <f t="array" ref="B233">Quantity!B234</f>
        <v>0</v>
      </c>
      <c r="C233" s="23" cm="1">
        <f t="array" ref="C233">Quantity!O234</f>
        <v>0</v>
      </c>
      <c r="D233" s="24" cm="1">
        <f t="array" ref="D233">CA!O234</f>
        <v>0</v>
      </c>
      <c r="E233" s="23" cm="1">
        <f t="array" ref="E233">Quantity!C234</f>
        <v>0</v>
      </c>
      <c r="F233" s="25" cm="1">
        <f t="array" ref="F233">CA!C234</f>
        <v>0</v>
      </c>
      <c r="G233" s="26" cm="1">
        <f t="array" aca="1" ref="G233" ca="1">SUMIFS(Quantity!$C234:$AH234,Quantity!$C$7:$AH$7,H$6,Quantity!$C$8:$AH$8,TRUE)</f>
        <v>0</v>
      </c>
      <c r="H233" s="24" cm="1">
        <f t="array" aca="1" ref="H233" ca="1">SUMIFS(CA!$C234:$AQ234,CA!$C$7:$AQ$7,H$6,CA!$C$8:$AQ$8,TRUE)</f>
        <v>0</v>
      </c>
      <c r="I233" s="23" cm="1">
        <f t="array" aca="1" ref="I233" ca="1">SUMIFS(Quantity!$C234:$AH234,Quantity!$C$7:$AH$7,J$6,Quantity!$C$8:$AH$8,TRUE)</f>
        <v>0</v>
      </c>
      <c r="J233" s="25" cm="1">
        <f t="array" aca="1" ref="J233" ca="1">SUMIFS(CA!$C234:$AQ234,CA!$C$7:$AQ$7,J$6,CA!$C$8:$AQ$8,TRUE)</f>
        <v>0</v>
      </c>
      <c r="K233" s="26" t="str" cm="1">
        <f t="array" ref="K233">IF(SUM(Quantity!O234:Z234)=0,"",SUM(Quantity!O234:Z234))</f>
        <v/>
      </c>
      <c r="L233" s="24" t="str" cm="1">
        <f t="array" ref="L233">IF(SUM(CA!O234:Z234)=0,"",SUM(CA!O234:Z234))</f>
        <v/>
      </c>
      <c r="M233" s="23" t="str" cm="1">
        <f t="array" ref="M233">IF(SUM(Quantity!C234:N234)=0,"",SUM(Quantity!C234:N234))</f>
        <v/>
      </c>
      <c r="N233" s="25" t="str" cm="1">
        <f t="array" ref="N233">IF(SUM(CA!C234:N234)=0,"",SUM(CA!C234:N234))</f>
        <v/>
      </c>
    </row>
    <row r="234" spans="1:14" x14ac:dyDescent="0.25">
      <c r="A234" s="1"/>
      <c r="B234" s="22" cm="1">
        <f t="array" ref="B234">Quantity!B235</f>
        <v>0</v>
      </c>
      <c r="C234" s="23" cm="1">
        <f t="array" ref="C234">Quantity!O235</f>
        <v>0</v>
      </c>
      <c r="D234" s="24" cm="1">
        <f t="array" ref="D234">CA!O235</f>
        <v>0</v>
      </c>
      <c r="E234" s="23" cm="1">
        <f t="array" ref="E234">Quantity!C235</f>
        <v>0</v>
      </c>
      <c r="F234" s="25" cm="1">
        <f t="array" ref="F234">CA!C235</f>
        <v>0</v>
      </c>
      <c r="G234" s="26" cm="1">
        <f t="array" aca="1" ref="G234" ca="1">SUMIFS(Quantity!$C235:$AH235,Quantity!$C$7:$AH$7,H$6,Quantity!$C$8:$AH$8,TRUE)</f>
        <v>0</v>
      </c>
      <c r="H234" s="24" cm="1">
        <f t="array" aca="1" ref="H234" ca="1">SUMIFS(CA!$C235:$AQ235,CA!$C$7:$AQ$7,H$6,CA!$C$8:$AQ$8,TRUE)</f>
        <v>0</v>
      </c>
      <c r="I234" s="23" cm="1">
        <f t="array" aca="1" ref="I234" ca="1">SUMIFS(Quantity!$C235:$AH235,Quantity!$C$7:$AH$7,J$6,Quantity!$C$8:$AH$8,TRUE)</f>
        <v>0</v>
      </c>
      <c r="J234" s="25" cm="1">
        <f t="array" aca="1" ref="J234" ca="1">SUMIFS(CA!$C235:$AQ235,CA!$C$7:$AQ$7,J$6,CA!$C$8:$AQ$8,TRUE)</f>
        <v>0</v>
      </c>
      <c r="K234" s="26" t="str" cm="1">
        <f t="array" ref="K234">IF(SUM(Quantity!O235:Z235)=0,"",SUM(Quantity!O235:Z235))</f>
        <v/>
      </c>
      <c r="L234" s="24" t="str" cm="1">
        <f t="array" ref="L234">IF(SUM(CA!O235:Z235)=0,"",SUM(CA!O235:Z235))</f>
        <v/>
      </c>
      <c r="M234" s="23" t="str" cm="1">
        <f t="array" ref="M234">IF(SUM(Quantity!C235:N235)=0,"",SUM(Quantity!C235:N235))</f>
        <v/>
      </c>
      <c r="N234" s="25" t="str" cm="1">
        <f t="array" ref="N234">IF(SUM(CA!C235:N235)=0,"",SUM(CA!C235:N235))</f>
        <v/>
      </c>
    </row>
    <row r="235" spans="1:14" x14ac:dyDescent="0.25">
      <c r="A235" s="1"/>
      <c r="B235" s="22" cm="1">
        <f t="array" ref="B235">Quantity!B236</f>
        <v>0</v>
      </c>
      <c r="C235" s="23" cm="1">
        <f t="array" ref="C235">Quantity!O236</f>
        <v>0</v>
      </c>
      <c r="D235" s="24" cm="1">
        <f t="array" ref="D235">CA!O236</f>
        <v>0</v>
      </c>
      <c r="E235" s="23" cm="1">
        <f t="array" ref="E235">Quantity!C236</f>
        <v>0</v>
      </c>
      <c r="F235" s="25" cm="1">
        <f t="array" ref="F235">CA!C236</f>
        <v>0</v>
      </c>
      <c r="G235" s="26" cm="1">
        <f t="array" aca="1" ref="G235" ca="1">SUMIFS(Quantity!$C236:$AH236,Quantity!$C$7:$AH$7,H$6,Quantity!$C$8:$AH$8,TRUE)</f>
        <v>0</v>
      </c>
      <c r="H235" s="24" cm="1">
        <f t="array" aca="1" ref="H235" ca="1">SUMIFS(CA!$C236:$AQ236,CA!$C$7:$AQ$7,H$6,CA!$C$8:$AQ$8,TRUE)</f>
        <v>0</v>
      </c>
      <c r="I235" s="23" cm="1">
        <f t="array" aca="1" ref="I235" ca="1">SUMIFS(Quantity!$C236:$AH236,Quantity!$C$7:$AH$7,J$6,Quantity!$C$8:$AH$8,TRUE)</f>
        <v>0</v>
      </c>
      <c r="J235" s="25" cm="1">
        <f t="array" aca="1" ref="J235" ca="1">SUMIFS(CA!$C236:$AQ236,CA!$C$7:$AQ$7,J$6,CA!$C$8:$AQ$8,TRUE)</f>
        <v>0</v>
      </c>
      <c r="K235" s="26" t="str" cm="1">
        <f t="array" ref="K235">IF(SUM(Quantity!O236:Z236)=0,"",SUM(Quantity!O236:Z236))</f>
        <v/>
      </c>
      <c r="L235" s="24" t="str" cm="1">
        <f t="array" ref="L235">IF(SUM(CA!O236:Z236)=0,"",SUM(CA!O236:Z236))</f>
        <v/>
      </c>
      <c r="M235" s="23" t="str" cm="1">
        <f t="array" ref="M235">IF(SUM(Quantity!C236:N236)=0,"",SUM(Quantity!C236:N236))</f>
        <v/>
      </c>
      <c r="N235" s="25" t="str" cm="1">
        <f t="array" ref="N235">IF(SUM(CA!C236:N236)=0,"",SUM(CA!C236:N236))</f>
        <v/>
      </c>
    </row>
    <row r="236" spans="1:14" x14ac:dyDescent="0.25">
      <c r="A236" s="1"/>
      <c r="B236" s="22" cm="1">
        <f t="array" ref="B236">Quantity!B237</f>
        <v>0</v>
      </c>
      <c r="C236" s="23" cm="1">
        <f t="array" ref="C236">Quantity!O237</f>
        <v>0</v>
      </c>
      <c r="D236" s="24" cm="1">
        <f t="array" ref="D236">CA!O237</f>
        <v>0</v>
      </c>
      <c r="E236" s="23" cm="1">
        <f t="array" ref="E236">Quantity!C237</f>
        <v>0</v>
      </c>
      <c r="F236" s="25" cm="1">
        <f t="array" ref="F236">CA!C237</f>
        <v>0</v>
      </c>
      <c r="G236" s="26" cm="1">
        <f t="array" aca="1" ref="G236" ca="1">SUMIFS(Quantity!$C237:$AH237,Quantity!$C$7:$AH$7,H$6,Quantity!$C$8:$AH$8,TRUE)</f>
        <v>0</v>
      </c>
      <c r="H236" s="24" cm="1">
        <f t="array" aca="1" ref="H236" ca="1">SUMIFS(CA!$C237:$AQ237,CA!$C$7:$AQ$7,H$6,CA!$C$8:$AQ$8,TRUE)</f>
        <v>0</v>
      </c>
      <c r="I236" s="23" cm="1">
        <f t="array" aca="1" ref="I236" ca="1">SUMIFS(Quantity!$C237:$AH237,Quantity!$C$7:$AH$7,J$6,Quantity!$C$8:$AH$8,TRUE)</f>
        <v>0</v>
      </c>
      <c r="J236" s="25" cm="1">
        <f t="array" aca="1" ref="J236" ca="1">SUMIFS(CA!$C237:$AQ237,CA!$C$7:$AQ$7,J$6,CA!$C$8:$AQ$8,TRUE)</f>
        <v>0</v>
      </c>
      <c r="K236" s="26" t="str" cm="1">
        <f t="array" ref="K236">IF(SUM(Quantity!O237:Z237)=0,"",SUM(Quantity!O237:Z237))</f>
        <v/>
      </c>
      <c r="L236" s="24" t="str" cm="1">
        <f t="array" ref="L236">IF(SUM(CA!O237:Z237)=0,"",SUM(CA!O237:Z237))</f>
        <v/>
      </c>
      <c r="M236" s="23" t="str" cm="1">
        <f t="array" ref="M236">IF(SUM(Quantity!C237:N237)=0,"",SUM(Quantity!C237:N237))</f>
        <v/>
      </c>
      <c r="N236" s="25" t="str" cm="1">
        <f t="array" ref="N236">IF(SUM(CA!C237:N237)=0,"",SUM(CA!C237:N237))</f>
        <v/>
      </c>
    </row>
    <row r="237" spans="1:14" x14ac:dyDescent="0.25">
      <c r="A237" s="1"/>
      <c r="B237" s="22" cm="1">
        <f t="array" ref="B237">Quantity!B238</f>
        <v>0</v>
      </c>
      <c r="C237" s="23" cm="1">
        <f t="array" ref="C237">Quantity!O238</f>
        <v>0</v>
      </c>
      <c r="D237" s="24" cm="1">
        <f t="array" ref="D237">CA!O238</f>
        <v>0</v>
      </c>
      <c r="E237" s="23" cm="1">
        <f t="array" ref="E237">Quantity!C238</f>
        <v>0</v>
      </c>
      <c r="F237" s="25" cm="1">
        <f t="array" ref="F237">CA!C238</f>
        <v>0</v>
      </c>
      <c r="G237" s="26" cm="1">
        <f t="array" aca="1" ref="G237" ca="1">SUMIFS(Quantity!$C238:$AH238,Quantity!$C$7:$AH$7,H$6,Quantity!$C$8:$AH$8,TRUE)</f>
        <v>0</v>
      </c>
      <c r="H237" s="24" cm="1">
        <f t="array" aca="1" ref="H237" ca="1">SUMIFS(CA!$C238:$AQ238,CA!$C$7:$AQ$7,H$6,CA!$C$8:$AQ$8,TRUE)</f>
        <v>0</v>
      </c>
      <c r="I237" s="23" cm="1">
        <f t="array" aca="1" ref="I237" ca="1">SUMIFS(Quantity!$C238:$AH238,Quantity!$C$7:$AH$7,J$6,Quantity!$C$8:$AH$8,TRUE)</f>
        <v>0</v>
      </c>
      <c r="J237" s="25" cm="1">
        <f t="array" aca="1" ref="J237" ca="1">SUMIFS(CA!$C238:$AQ238,CA!$C$7:$AQ$7,J$6,CA!$C$8:$AQ$8,TRUE)</f>
        <v>0</v>
      </c>
      <c r="K237" s="26" t="str" cm="1">
        <f t="array" ref="K237">IF(SUM(Quantity!O238:Z238)=0,"",SUM(Quantity!O238:Z238))</f>
        <v/>
      </c>
      <c r="L237" s="24" t="str" cm="1">
        <f t="array" ref="L237">IF(SUM(CA!O238:Z238)=0,"",SUM(CA!O238:Z238))</f>
        <v/>
      </c>
      <c r="M237" s="23" t="str" cm="1">
        <f t="array" ref="M237">IF(SUM(Quantity!C238:N238)=0,"",SUM(Quantity!C238:N238))</f>
        <v/>
      </c>
      <c r="N237" s="25" t="str" cm="1">
        <f t="array" ref="N237">IF(SUM(CA!C238:N238)=0,"",SUM(CA!C238:N238))</f>
        <v/>
      </c>
    </row>
    <row r="238" spans="1:14" x14ac:dyDescent="0.25">
      <c r="A238" s="1"/>
      <c r="B238" s="22" cm="1">
        <f t="array" ref="B238">Quantity!B239</f>
        <v>0</v>
      </c>
      <c r="C238" s="23" cm="1">
        <f t="array" ref="C238">Quantity!O239</f>
        <v>0</v>
      </c>
      <c r="D238" s="24" cm="1">
        <f t="array" ref="D238">CA!O239</f>
        <v>0</v>
      </c>
      <c r="E238" s="23" cm="1">
        <f t="array" ref="E238">Quantity!C239</f>
        <v>0</v>
      </c>
      <c r="F238" s="25" cm="1">
        <f t="array" ref="F238">CA!C239</f>
        <v>0</v>
      </c>
      <c r="G238" s="26" cm="1">
        <f t="array" aca="1" ref="G238" ca="1">SUMIFS(Quantity!$C239:$AH239,Quantity!$C$7:$AH$7,H$6,Quantity!$C$8:$AH$8,TRUE)</f>
        <v>0</v>
      </c>
      <c r="H238" s="24" cm="1">
        <f t="array" aca="1" ref="H238" ca="1">SUMIFS(CA!$C239:$AQ239,CA!$C$7:$AQ$7,H$6,CA!$C$8:$AQ$8,TRUE)</f>
        <v>0</v>
      </c>
      <c r="I238" s="23" cm="1">
        <f t="array" aca="1" ref="I238" ca="1">SUMIFS(Quantity!$C239:$AH239,Quantity!$C$7:$AH$7,J$6,Quantity!$C$8:$AH$8,TRUE)</f>
        <v>0</v>
      </c>
      <c r="J238" s="25" cm="1">
        <f t="array" aca="1" ref="J238" ca="1">SUMIFS(CA!$C239:$AQ239,CA!$C$7:$AQ$7,J$6,CA!$C$8:$AQ$8,TRUE)</f>
        <v>0</v>
      </c>
      <c r="K238" s="26" t="str" cm="1">
        <f t="array" ref="K238">IF(SUM(Quantity!O239:Z239)=0,"",SUM(Quantity!O239:Z239))</f>
        <v/>
      </c>
      <c r="L238" s="24" t="str" cm="1">
        <f t="array" ref="L238">IF(SUM(CA!O239:Z239)=0,"",SUM(CA!O239:Z239))</f>
        <v/>
      </c>
      <c r="M238" s="23" t="str" cm="1">
        <f t="array" ref="M238">IF(SUM(Quantity!C239:N239)=0,"",SUM(Quantity!C239:N239))</f>
        <v/>
      </c>
      <c r="N238" s="25" t="str" cm="1">
        <f t="array" ref="N238">IF(SUM(CA!C239:N239)=0,"",SUM(CA!C239:N239))</f>
        <v/>
      </c>
    </row>
    <row r="239" spans="1:14" x14ac:dyDescent="0.25">
      <c r="A239" s="1"/>
      <c r="B239" s="22" cm="1">
        <f t="array" ref="B239">Quantity!B240</f>
        <v>0</v>
      </c>
      <c r="C239" s="23" cm="1">
        <f t="array" ref="C239">Quantity!O240</f>
        <v>0</v>
      </c>
      <c r="D239" s="24" cm="1">
        <f t="array" ref="D239">CA!O240</f>
        <v>0</v>
      </c>
      <c r="E239" s="23" cm="1">
        <f t="array" ref="E239">Quantity!C240</f>
        <v>0</v>
      </c>
      <c r="F239" s="25" cm="1">
        <f t="array" ref="F239">CA!C240</f>
        <v>0</v>
      </c>
      <c r="G239" s="26" cm="1">
        <f t="array" aca="1" ref="G239" ca="1">SUMIFS(Quantity!$C240:$AH240,Quantity!$C$7:$AH$7,H$6,Quantity!$C$8:$AH$8,TRUE)</f>
        <v>0</v>
      </c>
      <c r="H239" s="24" cm="1">
        <f t="array" aca="1" ref="H239" ca="1">SUMIFS(CA!$C240:$AQ240,CA!$C$7:$AQ$7,H$6,CA!$C$8:$AQ$8,TRUE)</f>
        <v>0</v>
      </c>
      <c r="I239" s="23" cm="1">
        <f t="array" aca="1" ref="I239" ca="1">SUMIFS(Quantity!$C240:$AH240,Quantity!$C$7:$AH$7,J$6,Quantity!$C$8:$AH$8,TRUE)</f>
        <v>0</v>
      </c>
      <c r="J239" s="25" cm="1">
        <f t="array" aca="1" ref="J239" ca="1">SUMIFS(CA!$C240:$AQ240,CA!$C$7:$AQ$7,J$6,CA!$C$8:$AQ$8,TRUE)</f>
        <v>0</v>
      </c>
      <c r="K239" s="26" t="str" cm="1">
        <f t="array" ref="K239">IF(SUM(Quantity!O240:Z240)=0,"",SUM(Quantity!O240:Z240))</f>
        <v/>
      </c>
      <c r="L239" s="24" t="str" cm="1">
        <f t="array" ref="L239">IF(SUM(CA!O240:Z240)=0,"",SUM(CA!O240:Z240))</f>
        <v/>
      </c>
      <c r="M239" s="23" t="str" cm="1">
        <f t="array" ref="M239">IF(SUM(Quantity!C240:N240)=0,"",SUM(Quantity!C240:N240))</f>
        <v/>
      </c>
      <c r="N239" s="25" t="str" cm="1">
        <f t="array" ref="N239">IF(SUM(CA!C240:N240)=0,"",SUM(CA!C240:N240))</f>
        <v/>
      </c>
    </row>
    <row r="240" spans="1:14" x14ac:dyDescent="0.25">
      <c r="A240" s="1"/>
      <c r="B240" s="22" cm="1">
        <f t="array" ref="B240">Quantity!B241</f>
        <v>0</v>
      </c>
      <c r="C240" s="23" cm="1">
        <f t="array" ref="C240">Quantity!O241</f>
        <v>0</v>
      </c>
      <c r="D240" s="24" cm="1">
        <f t="array" ref="D240">CA!O241</f>
        <v>0</v>
      </c>
      <c r="E240" s="23" cm="1">
        <f t="array" ref="E240">Quantity!C241</f>
        <v>0</v>
      </c>
      <c r="F240" s="25" cm="1">
        <f t="array" ref="F240">CA!C241</f>
        <v>0</v>
      </c>
      <c r="G240" s="26" cm="1">
        <f t="array" aca="1" ref="G240" ca="1">SUMIFS(Quantity!$C241:$AH241,Quantity!$C$7:$AH$7,H$6,Quantity!$C$8:$AH$8,TRUE)</f>
        <v>0</v>
      </c>
      <c r="H240" s="24" cm="1">
        <f t="array" aca="1" ref="H240" ca="1">SUMIFS(CA!$C241:$AQ241,CA!$C$7:$AQ$7,H$6,CA!$C$8:$AQ$8,TRUE)</f>
        <v>0</v>
      </c>
      <c r="I240" s="23" cm="1">
        <f t="array" aca="1" ref="I240" ca="1">SUMIFS(Quantity!$C241:$AH241,Quantity!$C$7:$AH$7,J$6,Quantity!$C$8:$AH$8,TRUE)</f>
        <v>0</v>
      </c>
      <c r="J240" s="25" cm="1">
        <f t="array" aca="1" ref="J240" ca="1">SUMIFS(CA!$C241:$AQ241,CA!$C$7:$AQ$7,J$6,CA!$C$8:$AQ$8,TRUE)</f>
        <v>0</v>
      </c>
      <c r="K240" s="26" t="str" cm="1">
        <f t="array" ref="K240">IF(SUM(Quantity!O241:Z241)=0,"",SUM(Quantity!O241:Z241))</f>
        <v/>
      </c>
      <c r="L240" s="24" t="str" cm="1">
        <f t="array" ref="L240">IF(SUM(CA!O241:Z241)=0,"",SUM(CA!O241:Z241))</f>
        <v/>
      </c>
      <c r="M240" s="23" t="str" cm="1">
        <f t="array" ref="M240">IF(SUM(Quantity!C241:N241)=0,"",SUM(Quantity!C241:N241))</f>
        <v/>
      </c>
      <c r="N240" s="25" t="str" cm="1">
        <f t="array" ref="N240">IF(SUM(CA!C241:N241)=0,"",SUM(CA!C241:N241))</f>
        <v/>
      </c>
    </row>
    <row r="241" spans="1:14" x14ac:dyDescent="0.25">
      <c r="A241" s="1"/>
      <c r="B241" s="22" cm="1">
        <f t="array" ref="B241">Quantity!B242</f>
        <v>0</v>
      </c>
      <c r="C241" s="23" cm="1">
        <f t="array" ref="C241">Quantity!O242</f>
        <v>0</v>
      </c>
      <c r="D241" s="24" cm="1">
        <f t="array" ref="D241">CA!O242</f>
        <v>0</v>
      </c>
      <c r="E241" s="23" cm="1">
        <f t="array" ref="E241">Quantity!C242</f>
        <v>0</v>
      </c>
      <c r="F241" s="25" cm="1">
        <f t="array" ref="F241">CA!C242</f>
        <v>0</v>
      </c>
      <c r="G241" s="26" cm="1">
        <f t="array" aca="1" ref="G241" ca="1">SUMIFS(Quantity!$C242:$AH242,Quantity!$C$7:$AH$7,H$6,Quantity!$C$8:$AH$8,TRUE)</f>
        <v>0</v>
      </c>
      <c r="H241" s="24" cm="1">
        <f t="array" aca="1" ref="H241" ca="1">SUMIFS(CA!$C242:$AQ242,CA!$C$7:$AQ$7,H$6,CA!$C$8:$AQ$8,TRUE)</f>
        <v>0</v>
      </c>
      <c r="I241" s="23" cm="1">
        <f t="array" aca="1" ref="I241" ca="1">SUMIFS(Quantity!$C242:$AH242,Quantity!$C$7:$AH$7,J$6,Quantity!$C$8:$AH$8,TRUE)</f>
        <v>0</v>
      </c>
      <c r="J241" s="25" cm="1">
        <f t="array" aca="1" ref="J241" ca="1">SUMIFS(CA!$C242:$AQ242,CA!$C$7:$AQ$7,J$6,CA!$C$8:$AQ$8,TRUE)</f>
        <v>0</v>
      </c>
      <c r="K241" s="26" t="str" cm="1">
        <f t="array" ref="K241">IF(SUM(Quantity!O242:Z242)=0,"",SUM(Quantity!O242:Z242))</f>
        <v/>
      </c>
      <c r="L241" s="24" t="str" cm="1">
        <f t="array" ref="L241">IF(SUM(CA!O242:Z242)=0,"",SUM(CA!O242:Z242))</f>
        <v/>
      </c>
      <c r="M241" s="23" t="str" cm="1">
        <f t="array" ref="M241">IF(SUM(Quantity!C242:N242)=0,"",SUM(Quantity!C242:N242))</f>
        <v/>
      </c>
      <c r="N241" s="25" t="str" cm="1">
        <f t="array" ref="N241">IF(SUM(CA!C242:N242)=0,"",SUM(CA!C242:N242))</f>
        <v/>
      </c>
    </row>
    <row r="242" spans="1:14" x14ac:dyDescent="0.25">
      <c r="A242" s="1"/>
      <c r="B242" s="22" cm="1">
        <f t="array" ref="B242">Quantity!B243</f>
        <v>0</v>
      </c>
      <c r="C242" s="23" cm="1">
        <f t="array" ref="C242">Quantity!O243</f>
        <v>0</v>
      </c>
      <c r="D242" s="24" cm="1">
        <f t="array" ref="D242">CA!O243</f>
        <v>0</v>
      </c>
      <c r="E242" s="23" cm="1">
        <f t="array" ref="E242">Quantity!C243</f>
        <v>0</v>
      </c>
      <c r="F242" s="25" cm="1">
        <f t="array" ref="F242">CA!C243</f>
        <v>0</v>
      </c>
      <c r="G242" s="26" cm="1">
        <f t="array" aca="1" ref="G242" ca="1">SUMIFS(Quantity!$C243:$AH243,Quantity!$C$7:$AH$7,H$6,Quantity!$C$8:$AH$8,TRUE)</f>
        <v>0</v>
      </c>
      <c r="H242" s="24" cm="1">
        <f t="array" aca="1" ref="H242" ca="1">SUMIFS(CA!$C243:$AQ243,CA!$C$7:$AQ$7,H$6,CA!$C$8:$AQ$8,TRUE)</f>
        <v>0</v>
      </c>
      <c r="I242" s="23" cm="1">
        <f t="array" aca="1" ref="I242" ca="1">SUMIFS(Quantity!$C243:$AH243,Quantity!$C$7:$AH$7,J$6,Quantity!$C$8:$AH$8,TRUE)</f>
        <v>0</v>
      </c>
      <c r="J242" s="25" cm="1">
        <f t="array" aca="1" ref="J242" ca="1">SUMIFS(CA!$C243:$AQ243,CA!$C$7:$AQ$7,J$6,CA!$C$8:$AQ$8,TRUE)</f>
        <v>0</v>
      </c>
      <c r="K242" s="26" t="str" cm="1">
        <f t="array" ref="K242">IF(SUM(Quantity!O243:Z243)=0,"",SUM(Quantity!O243:Z243))</f>
        <v/>
      </c>
      <c r="L242" s="24" t="str" cm="1">
        <f t="array" ref="L242">IF(SUM(CA!O243:Z243)=0,"",SUM(CA!O243:Z243))</f>
        <v/>
      </c>
      <c r="M242" s="23" t="str" cm="1">
        <f t="array" ref="M242">IF(SUM(Quantity!C243:N243)=0,"",SUM(Quantity!C243:N243))</f>
        <v/>
      </c>
      <c r="N242" s="25" t="str" cm="1">
        <f t="array" ref="N242">IF(SUM(CA!C243:N243)=0,"",SUM(CA!C243:N243))</f>
        <v/>
      </c>
    </row>
    <row r="243" spans="1:14" x14ac:dyDescent="0.25">
      <c r="A243" s="1"/>
      <c r="B243" s="22" cm="1">
        <f t="array" ref="B243">Quantity!B244</f>
        <v>0</v>
      </c>
      <c r="C243" s="23" cm="1">
        <f t="array" ref="C243">Quantity!O244</f>
        <v>0</v>
      </c>
      <c r="D243" s="24" cm="1">
        <f t="array" ref="D243">CA!O244</f>
        <v>0</v>
      </c>
      <c r="E243" s="23" cm="1">
        <f t="array" ref="E243">Quantity!C244</f>
        <v>0</v>
      </c>
      <c r="F243" s="25" cm="1">
        <f t="array" ref="F243">CA!C244</f>
        <v>0</v>
      </c>
      <c r="G243" s="26" cm="1">
        <f t="array" aca="1" ref="G243" ca="1">SUMIFS(Quantity!$C244:$AH244,Quantity!$C$7:$AH$7,H$6,Quantity!$C$8:$AH$8,TRUE)</f>
        <v>0</v>
      </c>
      <c r="H243" s="24" cm="1">
        <f t="array" aca="1" ref="H243" ca="1">SUMIFS(CA!$C244:$AQ244,CA!$C$7:$AQ$7,H$6,CA!$C$8:$AQ$8,TRUE)</f>
        <v>0</v>
      </c>
      <c r="I243" s="23" cm="1">
        <f t="array" aca="1" ref="I243" ca="1">SUMIFS(Quantity!$C244:$AH244,Quantity!$C$7:$AH$7,J$6,Quantity!$C$8:$AH$8,TRUE)</f>
        <v>0</v>
      </c>
      <c r="J243" s="25" cm="1">
        <f t="array" aca="1" ref="J243" ca="1">SUMIFS(CA!$C244:$AQ244,CA!$C$7:$AQ$7,J$6,CA!$C$8:$AQ$8,TRUE)</f>
        <v>0</v>
      </c>
      <c r="K243" s="26" t="str" cm="1">
        <f t="array" ref="K243">IF(SUM(Quantity!O244:Z244)=0,"",SUM(Quantity!O244:Z244))</f>
        <v/>
      </c>
      <c r="L243" s="24" t="str" cm="1">
        <f t="array" ref="L243">IF(SUM(CA!O244:Z244)=0,"",SUM(CA!O244:Z244))</f>
        <v/>
      </c>
      <c r="M243" s="23" t="str" cm="1">
        <f t="array" ref="M243">IF(SUM(Quantity!C244:N244)=0,"",SUM(Quantity!C244:N244))</f>
        <v/>
      </c>
      <c r="N243" s="25" t="str" cm="1">
        <f t="array" ref="N243">IF(SUM(CA!C244:N244)=0,"",SUM(CA!C244:N244))</f>
        <v/>
      </c>
    </row>
    <row r="244" spans="1:14" x14ac:dyDescent="0.25">
      <c r="A244" s="1"/>
      <c r="B244" s="22" cm="1">
        <f t="array" ref="B244">Quantity!B245</f>
        <v>0</v>
      </c>
      <c r="C244" s="23" cm="1">
        <f t="array" ref="C244">Quantity!O245</f>
        <v>0</v>
      </c>
      <c r="D244" s="24" cm="1">
        <f t="array" ref="D244">CA!O245</f>
        <v>0</v>
      </c>
      <c r="E244" s="23" cm="1">
        <f t="array" ref="E244">Quantity!C245</f>
        <v>0</v>
      </c>
      <c r="F244" s="25" cm="1">
        <f t="array" ref="F244">CA!C245</f>
        <v>0</v>
      </c>
      <c r="G244" s="26" cm="1">
        <f t="array" aca="1" ref="G244" ca="1">SUMIFS(Quantity!$C245:$AH245,Quantity!$C$7:$AH$7,H$6,Quantity!$C$8:$AH$8,TRUE)</f>
        <v>0</v>
      </c>
      <c r="H244" s="24" cm="1">
        <f t="array" aca="1" ref="H244" ca="1">SUMIFS(CA!$C245:$AQ245,CA!$C$7:$AQ$7,H$6,CA!$C$8:$AQ$8,TRUE)</f>
        <v>0</v>
      </c>
      <c r="I244" s="23" cm="1">
        <f t="array" aca="1" ref="I244" ca="1">SUMIFS(Quantity!$C245:$AH245,Quantity!$C$7:$AH$7,J$6,Quantity!$C$8:$AH$8,TRUE)</f>
        <v>0</v>
      </c>
      <c r="J244" s="25" cm="1">
        <f t="array" aca="1" ref="J244" ca="1">SUMIFS(CA!$C245:$AQ245,CA!$C$7:$AQ$7,J$6,CA!$C$8:$AQ$8,TRUE)</f>
        <v>0</v>
      </c>
      <c r="K244" s="26" t="str" cm="1">
        <f t="array" ref="K244">IF(SUM(Quantity!O245:Z245)=0,"",SUM(Quantity!O245:Z245))</f>
        <v/>
      </c>
      <c r="L244" s="24" t="str" cm="1">
        <f t="array" ref="L244">IF(SUM(CA!O245:Z245)=0,"",SUM(CA!O245:Z245))</f>
        <v/>
      </c>
      <c r="M244" s="23" t="str" cm="1">
        <f t="array" ref="M244">IF(SUM(Quantity!C245:N245)=0,"",SUM(Quantity!C245:N245))</f>
        <v/>
      </c>
      <c r="N244" s="25" t="str" cm="1">
        <f t="array" ref="N244">IF(SUM(CA!C245:N245)=0,"",SUM(CA!C245:N245))</f>
        <v/>
      </c>
    </row>
    <row r="245" spans="1:14" x14ac:dyDescent="0.25">
      <c r="A245" s="1"/>
      <c r="B245" s="22" cm="1">
        <f t="array" ref="B245">Quantity!B246</f>
        <v>0</v>
      </c>
      <c r="C245" s="23" cm="1">
        <f t="array" ref="C245">Quantity!O246</f>
        <v>0</v>
      </c>
      <c r="D245" s="24" cm="1">
        <f t="array" ref="D245">CA!O246</f>
        <v>0</v>
      </c>
      <c r="E245" s="23" cm="1">
        <f t="array" ref="E245">Quantity!C246</f>
        <v>0</v>
      </c>
      <c r="F245" s="25" cm="1">
        <f t="array" ref="F245">CA!C246</f>
        <v>0</v>
      </c>
      <c r="G245" s="26" cm="1">
        <f t="array" aca="1" ref="G245" ca="1">SUMIFS(Quantity!$C246:$AH246,Quantity!$C$7:$AH$7,H$6,Quantity!$C$8:$AH$8,TRUE)</f>
        <v>0</v>
      </c>
      <c r="H245" s="24" cm="1">
        <f t="array" aca="1" ref="H245" ca="1">SUMIFS(CA!$C246:$AQ246,CA!$C$7:$AQ$7,H$6,CA!$C$8:$AQ$8,TRUE)</f>
        <v>0</v>
      </c>
      <c r="I245" s="23" cm="1">
        <f t="array" aca="1" ref="I245" ca="1">SUMIFS(Quantity!$C246:$AH246,Quantity!$C$7:$AH$7,J$6,Quantity!$C$8:$AH$8,TRUE)</f>
        <v>0</v>
      </c>
      <c r="J245" s="25" cm="1">
        <f t="array" aca="1" ref="J245" ca="1">SUMIFS(CA!$C246:$AQ246,CA!$C$7:$AQ$7,J$6,CA!$C$8:$AQ$8,TRUE)</f>
        <v>0</v>
      </c>
      <c r="K245" s="26" t="str" cm="1">
        <f t="array" ref="K245">IF(SUM(Quantity!O246:Z246)=0,"",SUM(Quantity!O246:Z246))</f>
        <v/>
      </c>
      <c r="L245" s="24" t="str" cm="1">
        <f t="array" ref="L245">IF(SUM(CA!O246:Z246)=0,"",SUM(CA!O246:Z246))</f>
        <v/>
      </c>
      <c r="M245" s="23" t="str" cm="1">
        <f t="array" ref="M245">IF(SUM(Quantity!C246:N246)=0,"",SUM(Quantity!C246:N246))</f>
        <v/>
      </c>
      <c r="N245" s="25" t="str" cm="1">
        <f t="array" ref="N245">IF(SUM(CA!C246:N246)=0,"",SUM(CA!C246:N246))</f>
        <v/>
      </c>
    </row>
    <row r="246" spans="1:14" x14ac:dyDescent="0.25">
      <c r="A246" s="1"/>
      <c r="B246" s="22" cm="1">
        <f t="array" ref="B246">Quantity!B247</f>
        <v>0</v>
      </c>
      <c r="C246" s="23" cm="1">
        <f t="array" ref="C246">Quantity!O247</f>
        <v>0</v>
      </c>
      <c r="D246" s="24" cm="1">
        <f t="array" ref="D246">CA!O247</f>
        <v>0</v>
      </c>
      <c r="E246" s="23" cm="1">
        <f t="array" ref="E246">Quantity!C247</f>
        <v>0</v>
      </c>
      <c r="F246" s="25" cm="1">
        <f t="array" ref="F246">CA!C247</f>
        <v>0</v>
      </c>
      <c r="G246" s="26" cm="1">
        <f t="array" aca="1" ref="G246" ca="1">SUMIFS(Quantity!$C247:$AH247,Quantity!$C$7:$AH$7,H$6,Quantity!$C$8:$AH$8,TRUE)</f>
        <v>0</v>
      </c>
      <c r="H246" s="24" cm="1">
        <f t="array" aca="1" ref="H246" ca="1">SUMIFS(CA!$C247:$AQ247,CA!$C$7:$AQ$7,H$6,CA!$C$8:$AQ$8,TRUE)</f>
        <v>0</v>
      </c>
      <c r="I246" s="23" cm="1">
        <f t="array" aca="1" ref="I246" ca="1">SUMIFS(Quantity!$C247:$AH247,Quantity!$C$7:$AH$7,J$6,Quantity!$C$8:$AH$8,TRUE)</f>
        <v>0</v>
      </c>
      <c r="J246" s="25" cm="1">
        <f t="array" aca="1" ref="J246" ca="1">SUMIFS(CA!$C247:$AQ247,CA!$C$7:$AQ$7,J$6,CA!$C$8:$AQ$8,TRUE)</f>
        <v>0</v>
      </c>
      <c r="K246" s="26" t="str" cm="1">
        <f t="array" ref="K246">IF(SUM(Quantity!O247:Z247)=0,"",SUM(Quantity!O247:Z247))</f>
        <v/>
      </c>
      <c r="L246" s="24" t="str" cm="1">
        <f t="array" ref="L246">IF(SUM(CA!O247:Z247)=0,"",SUM(CA!O247:Z247))</f>
        <v/>
      </c>
      <c r="M246" s="23" t="str" cm="1">
        <f t="array" ref="M246">IF(SUM(Quantity!C247:N247)=0,"",SUM(Quantity!C247:N247))</f>
        <v/>
      </c>
      <c r="N246" s="25" t="str" cm="1">
        <f t="array" ref="N246">IF(SUM(CA!C247:N247)=0,"",SUM(CA!C247:N247))</f>
        <v/>
      </c>
    </row>
    <row r="247" spans="1:14" x14ac:dyDescent="0.25">
      <c r="A247" s="1"/>
      <c r="B247" s="22" cm="1">
        <f t="array" ref="B247">Quantity!B248</f>
        <v>0</v>
      </c>
      <c r="C247" s="23" cm="1">
        <f t="array" ref="C247">Quantity!O248</f>
        <v>0</v>
      </c>
      <c r="D247" s="24" cm="1">
        <f t="array" ref="D247">CA!O248</f>
        <v>0</v>
      </c>
      <c r="E247" s="23" cm="1">
        <f t="array" ref="E247">Quantity!C248</f>
        <v>0</v>
      </c>
      <c r="F247" s="25" cm="1">
        <f t="array" ref="F247">CA!C248</f>
        <v>0</v>
      </c>
      <c r="G247" s="26" cm="1">
        <f t="array" aca="1" ref="G247" ca="1">SUMIFS(Quantity!$C248:$AH248,Quantity!$C$7:$AH$7,H$6,Quantity!$C$8:$AH$8,TRUE)</f>
        <v>0</v>
      </c>
      <c r="H247" s="24" cm="1">
        <f t="array" aca="1" ref="H247" ca="1">SUMIFS(CA!$C248:$AQ248,CA!$C$7:$AQ$7,H$6,CA!$C$8:$AQ$8,TRUE)</f>
        <v>0</v>
      </c>
      <c r="I247" s="23" cm="1">
        <f t="array" aca="1" ref="I247" ca="1">SUMIFS(Quantity!$C248:$AH248,Quantity!$C$7:$AH$7,J$6,Quantity!$C$8:$AH$8,TRUE)</f>
        <v>0</v>
      </c>
      <c r="J247" s="25" cm="1">
        <f t="array" aca="1" ref="J247" ca="1">SUMIFS(CA!$C248:$AQ248,CA!$C$7:$AQ$7,J$6,CA!$C$8:$AQ$8,TRUE)</f>
        <v>0</v>
      </c>
      <c r="K247" s="26" t="str" cm="1">
        <f t="array" ref="K247">IF(SUM(Quantity!O248:Z248)=0,"",SUM(Quantity!O248:Z248))</f>
        <v/>
      </c>
      <c r="L247" s="24" t="str" cm="1">
        <f t="array" ref="L247">IF(SUM(CA!O248:Z248)=0,"",SUM(CA!O248:Z248))</f>
        <v/>
      </c>
      <c r="M247" s="23" t="str" cm="1">
        <f t="array" ref="M247">IF(SUM(Quantity!C248:N248)=0,"",SUM(Quantity!C248:N248))</f>
        <v/>
      </c>
      <c r="N247" s="25" t="str" cm="1">
        <f t="array" ref="N247">IF(SUM(CA!C248:N248)=0,"",SUM(CA!C248:N248))</f>
        <v/>
      </c>
    </row>
    <row r="248" spans="1:14" x14ac:dyDescent="0.25">
      <c r="A248" s="1"/>
      <c r="B248" s="22" cm="1">
        <f t="array" ref="B248">Quantity!B249</f>
        <v>0</v>
      </c>
      <c r="C248" s="23" cm="1">
        <f t="array" ref="C248">Quantity!O249</f>
        <v>0</v>
      </c>
      <c r="D248" s="24" cm="1">
        <f t="array" ref="D248">CA!O249</f>
        <v>0</v>
      </c>
      <c r="E248" s="23" cm="1">
        <f t="array" ref="E248">Quantity!C249</f>
        <v>0</v>
      </c>
      <c r="F248" s="25" cm="1">
        <f t="array" ref="F248">CA!C249</f>
        <v>0</v>
      </c>
      <c r="G248" s="26" cm="1">
        <f t="array" aca="1" ref="G248" ca="1">SUMIFS(Quantity!$C249:$AH249,Quantity!$C$7:$AH$7,H$6,Quantity!$C$8:$AH$8,TRUE)</f>
        <v>0</v>
      </c>
      <c r="H248" s="24" cm="1">
        <f t="array" aca="1" ref="H248" ca="1">SUMIFS(CA!$C249:$AQ249,CA!$C$7:$AQ$7,H$6,CA!$C$8:$AQ$8,TRUE)</f>
        <v>0</v>
      </c>
      <c r="I248" s="23" cm="1">
        <f t="array" aca="1" ref="I248" ca="1">SUMIFS(Quantity!$C249:$AH249,Quantity!$C$7:$AH$7,J$6,Quantity!$C$8:$AH$8,TRUE)</f>
        <v>0</v>
      </c>
      <c r="J248" s="25" cm="1">
        <f t="array" aca="1" ref="J248" ca="1">SUMIFS(CA!$C249:$AQ249,CA!$C$7:$AQ$7,J$6,CA!$C$8:$AQ$8,TRUE)</f>
        <v>0</v>
      </c>
      <c r="K248" s="26" t="str" cm="1">
        <f t="array" ref="K248">IF(SUM(Quantity!O249:Z249)=0,"",SUM(Quantity!O249:Z249))</f>
        <v/>
      </c>
      <c r="L248" s="24" t="str" cm="1">
        <f t="array" ref="L248">IF(SUM(CA!O249:Z249)=0,"",SUM(CA!O249:Z249))</f>
        <v/>
      </c>
      <c r="M248" s="23" t="str" cm="1">
        <f t="array" ref="M248">IF(SUM(Quantity!C249:N249)=0,"",SUM(Quantity!C249:N249))</f>
        <v/>
      </c>
      <c r="N248" s="25" t="str" cm="1">
        <f t="array" ref="N248">IF(SUM(CA!C249:N249)=0,"",SUM(CA!C249:N249))</f>
        <v/>
      </c>
    </row>
    <row r="249" spans="1:14" x14ac:dyDescent="0.25">
      <c r="A249" s="1"/>
      <c r="B249" s="22" cm="1">
        <f t="array" ref="B249">Quantity!B250</f>
        <v>0</v>
      </c>
      <c r="C249" s="23" cm="1">
        <f t="array" ref="C249">Quantity!O250</f>
        <v>0</v>
      </c>
      <c r="D249" s="24" cm="1">
        <f t="array" ref="D249">CA!O250</f>
        <v>0</v>
      </c>
      <c r="E249" s="23" cm="1">
        <f t="array" ref="E249">Quantity!C250</f>
        <v>0</v>
      </c>
      <c r="F249" s="25" cm="1">
        <f t="array" ref="F249">CA!C250</f>
        <v>0</v>
      </c>
      <c r="G249" s="26" cm="1">
        <f t="array" aca="1" ref="G249" ca="1">SUMIFS(Quantity!$C250:$AH250,Quantity!$C$7:$AH$7,H$6,Quantity!$C$8:$AH$8,TRUE)</f>
        <v>0</v>
      </c>
      <c r="H249" s="24" cm="1">
        <f t="array" aca="1" ref="H249" ca="1">SUMIFS(CA!$C250:$AQ250,CA!$C$7:$AQ$7,H$6,CA!$C$8:$AQ$8,TRUE)</f>
        <v>0</v>
      </c>
      <c r="I249" s="23" cm="1">
        <f t="array" aca="1" ref="I249" ca="1">SUMIFS(Quantity!$C250:$AH250,Quantity!$C$7:$AH$7,J$6,Quantity!$C$8:$AH$8,TRUE)</f>
        <v>0</v>
      </c>
      <c r="J249" s="25" cm="1">
        <f t="array" aca="1" ref="J249" ca="1">SUMIFS(CA!$C250:$AQ250,CA!$C$7:$AQ$7,J$6,CA!$C$8:$AQ$8,TRUE)</f>
        <v>0</v>
      </c>
      <c r="K249" s="26" t="str" cm="1">
        <f t="array" ref="K249">IF(SUM(Quantity!O250:Z250)=0,"",SUM(Quantity!O250:Z250))</f>
        <v/>
      </c>
      <c r="L249" s="24" t="str" cm="1">
        <f t="array" ref="L249">IF(SUM(CA!O250:Z250)=0,"",SUM(CA!O250:Z250))</f>
        <v/>
      </c>
      <c r="M249" s="23" t="str" cm="1">
        <f t="array" ref="M249">IF(SUM(Quantity!C250:N250)=0,"",SUM(Quantity!C250:N250))</f>
        <v/>
      </c>
      <c r="N249" s="25" t="str" cm="1">
        <f t="array" ref="N249">IF(SUM(CA!C250:N250)=0,"",SUM(CA!C250:N250))</f>
        <v/>
      </c>
    </row>
    <row r="250" spans="1:14" x14ac:dyDescent="0.25">
      <c r="A250" s="1"/>
      <c r="B250" s="22" cm="1">
        <f t="array" ref="B250">Quantity!B251</f>
        <v>0</v>
      </c>
      <c r="C250" s="23" cm="1">
        <f t="array" ref="C250">Quantity!O251</f>
        <v>0</v>
      </c>
      <c r="D250" s="24" cm="1">
        <f t="array" ref="D250">CA!O251</f>
        <v>0</v>
      </c>
      <c r="E250" s="23" cm="1">
        <f t="array" ref="E250">Quantity!C251</f>
        <v>0</v>
      </c>
      <c r="F250" s="25" cm="1">
        <f t="array" ref="F250">CA!C251</f>
        <v>0</v>
      </c>
      <c r="G250" s="26" cm="1">
        <f t="array" aca="1" ref="G250" ca="1">SUMIFS(Quantity!$C251:$AH251,Quantity!$C$7:$AH$7,H$6,Quantity!$C$8:$AH$8,TRUE)</f>
        <v>0</v>
      </c>
      <c r="H250" s="24" cm="1">
        <f t="array" aca="1" ref="H250" ca="1">SUMIFS(CA!$C251:$AQ251,CA!$C$7:$AQ$7,H$6,CA!$C$8:$AQ$8,TRUE)</f>
        <v>0</v>
      </c>
      <c r="I250" s="23" cm="1">
        <f t="array" aca="1" ref="I250" ca="1">SUMIFS(Quantity!$C251:$AH251,Quantity!$C$7:$AH$7,J$6,Quantity!$C$8:$AH$8,TRUE)</f>
        <v>0</v>
      </c>
      <c r="J250" s="25" cm="1">
        <f t="array" aca="1" ref="J250" ca="1">SUMIFS(CA!$C251:$AQ251,CA!$C$7:$AQ$7,J$6,CA!$C$8:$AQ$8,TRUE)</f>
        <v>0</v>
      </c>
      <c r="K250" s="26" t="str" cm="1">
        <f t="array" ref="K250">IF(SUM(Quantity!O251:Z251)=0,"",SUM(Quantity!O251:Z251))</f>
        <v/>
      </c>
      <c r="L250" s="24" t="str" cm="1">
        <f t="array" ref="L250">IF(SUM(CA!O251:Z251)=0,"",SUM(CA!O251:Z251))</f>
        <v/>
      </c>
      <c r="M250" s="23" t="str" cm="1">
        <f t="array" ref="M250">IF(SUM(Quantity!C251:N251)=0,"",SUM(Quantity!C251:N251))</f>
        <v/>
      </c>
      <c r="N250" s="25" t="str" cm="1">
        <f t="array" ref="N250">IF(SUM(CA!C251:N251)=0,"",SUM(CA!C251:N251))</f>
        <v/>
      </c>
    </row>
    <row r="251" spans="1:14" x14ac:dyDescent="0.25">
      <c r="A251" s="1"/>
      <c r="B251" s="22" cm="1">
        <f t="array" ref="B251">Quantity!B252</f>
        <v>0</v>
      </c>
      <c r="C251" s="23" cm="1">
        <f t="array" ref="C251">Quantity!O252</f>
        <v>0</v>
      </c>
      <c r="D251" s="24" cm="1">
        <f t="array" ref="D251">CA!O252</f>
        <v>0</v>
      </c>
      <c r="E251" s="23" cm="1">
        <f t="array" ref="E251">Quantity!C252</f>
        <v>0</v>
      </c>
      <c r="F251" s="25" cm="1">
        <f t="array" ref="F251">CA!C252</f>
        <v>0</v>
      </c>
      <c r="G251" s="26" cm="1">
        <f t="array" aca="1" ref="G251" ca="1">SUMIFS(Quantity!$C252:$AH252,Quantity!$C$7:$AH$7,H$6,Quantity!$C$8:$AH$8,TRUE)</f>
        <v>0</v>
      </c>
      <c r="H251" s="24" cm="1">
        <f t="array" aca="1" ref="H251" ca="1">SUMIFS(CA!$C252:$AQ252,CA!$C$7:$AQ$7,H$6,CA!$C$8:$AQ$8,TRUE)</f>
        <v>0</v>
      </c>
      <c r="I251" s="23" cm="1">
        <f t="array" aca="1" ref="I251" ca="1">SUMIFS(Quantity!$C252:$AH252,Quantity!$C$7:$AH$7,J$6,Quantity!$C$8:$AH$8,TRUE)</f>
        <v>0</v>
      </c>
      <c r="J251" s="25" cm="1">
        <f t="array" aca="1" ref="J251" ca="1">SUMIFS(CA!$C252:$AQ252,CA!$C$7:$AQ$7,J$6,CA!$C$8:$AQ$8,TRUE)</f>
        <v>0</v>
      </c>
      <c r="K251" s="26" t="str" cm="1">
        <f t="array" ref="K251">IF(SUM(Quantity!O252:Z252)=0,"",SUM(Quantity!O252:Z252))</f>
        <v/>
      </c>
      <c r="L251" s="24" t="str" cm="1">
        <f t="array" ref="L251">IF(SUM(CA!O252:Z252)=0,"",SUM(CA!O252:Z252))</f>
        <v/>
      </c>
      <c r="M251" s="23" t="str" cm="1">
        <f t="array" ref="M251">IF(SUM(Quantity!C252:N252)=0,"",SUM(Quantity!C252:N252))</f>
        <v/>
      </c>
      <c r="N251" s="25" t="str" cm="1">
        <f t="array" ref="N251">IF(SUM(CA!C252:N252)=0,"",SUM(CA!C252:N252))</f>
        <v/>
      </c>
    </row>
    <row r="252" spans="1:14" x14ac:dyDescent="0.25">
      <c r="A252" s="1"/>
      <c r="B252" s="22" cm="1">
        <f t="array" ref="B252">Quantity!B253</f>
        <v>0</v>
      </c>
      <c r="C252" s="23" cm="1">
        <f t="array" ref="C252">Quantity!O253</f>
        <v>0</v>
      </c>
      <c r="D252" s="24" cm="1">
        <f t="array" ref="D252">CA!O253</f>
        <v>0</v>
      </c>
      <c r="E252" s="23" cm="1">
        <f t="array" ref="E252">Quantity!C253</f>
        <v>0</v>
      </c>
      <c r="F252" s="25" cm="1">
        <f t="array" ref="F252">CA!C253</f>
        <v>0</v>
      </c>
      <c r="G252" s="26" cm="1">
        <f t="array" aca="1" ref="G252" ca="1">SUMIFS(Quantity!$C253:$AH253,Quantity!$C$7:$AH$7,H$6,Quantity!$C$8:$AH$8,TRUE)</f>
        <v>0</v>
      </c>
      <c r="H252" s="24" cm="1">
        <f t="array" aca="1" ref="H252" ca="1">SUMIFS(CA!$C253:$AQ253,CA!$C$7:$AQ$7,H$6,CA!$C$8:$AQ$8,TRUE)</f>
        <v>0</v>
      </c>
      <c r="I252" s="23" cm="1">
        <f t="array" aca="1" ref="I252" ca="1">SUMIFS(Quantity!$C253:$AH253,Quantity!$C$7:$AH$7,J$6,Quantity!$C$8:$AH$8,TRUE)</f>
        <v>0</v>
      </c>
      <c r="J252" s="25" cm="1">
        <f t="array" aca="1" ref="J252" ca="1">SUMIFS(CA!$C253:$AQ253,CA!$C$7:$AQ$7,J$6,CA!$C$8:$AQ$8,TRUE)</f>
        <v>0</v>
      </c>
      <c r="K252" s="26" t="str" cm="1">
        <f t="array" ref="K252">IF(SUM(Quantity!O253:Z253)=0,"",SUM(Quantity!O253:Z253))</f>
        <v/>
      </c>
      <c r="L252" s="24" t="str" cm="1">
        <f t="array" ref="L252">IF(SUM(CA!O253:Z253)=0,"",SUM(CA!O253:Z253))</f>
        <v/>
      </c>
      <c r="M252" s="23" t="str" cm="1">
        <f t="array" ref="M252">IF(SUM(Quantity!C253:N253)=0,"",SUM(Quantity!C253:N253))</f>
        <v/>
      </c>
      <c r="N252" s="25" t="str" cm="1">
        <f t="array" ref="N252">IF(SUM(CA!C253:N253)=0,"",SUM(CA!C253:N253))</f>
        <v/>
      </c>
    </row>
    <row r="253" spans="1:14" x14ac:dyDescent="0.25">
      <c r="A253" s="1"/>
      <c r="B253" s="22" cm="1">
        <f t="array" ref="B253">Quantity!B254</f>
        <v>0</v>
      </c>
      <c r="C253" s="23" cm="1">
        <f t="array" ref="C253">Quantity!O254</f>
        <v>0</v>
      </c>
      <c r="D253" s="24" cm="1">
        <f t="array" ref="D253">CA!O254</f>
        <v>0</v>
      </c>
      <c r="E253" s="23" cm="1">
        <f t="array" ref="E253">Quantity!C254</f>
        <v>0</v>
      </c>
      <c r="F253" s="25" cm="1">
        <f t="array" ref="F253">CA!C254</f>
        <v>0</v>
      </c>
      <c r="G253" s="26" cm="1">
        <f t="array" aca="1" ref="G253" ca="1">SUMIFS(Quantity!$C254:$AH254,Quantity!$C$7:$AH$7,H$6,Quantity!$C$8:$AH$8,TRUE)</f>
        <v>0</v>
      </c>
      <c r="H253" s="24" cm="1">
        <f t="array" aca="1" ref="H253" ca="1">SUMIFS(CA!$C254:$AQ254,CA!$C$7:$AQ$7,H$6,CA!$C$8:$AQ$8,TRUE)</f>
        <v>0</v>
      </c>
      <c r="I253" s="23" cm="1">
        <f t="array" aca="1" ref="I253" ca="1">SUMIFS(Quantity!$C254:$AH254,Quantity!$C$7:$AH$7,J$6,Quantity!$C$8:$AH$8,TRUE)</f>
        <v>0</v>
      </c>
      <c r="J253" s="25" cm="1">
        <f t="array" aca="1" ref="J253" ca="1">SUMIFS(CA!$C254:$AQ254,CA!$C$7:$AQ$7,J$6,CA!$C$8:$AQ$8,TRUE)</f>
        <v>0</v>
      </c>
      <c r="K253" s="26" t="str" cm="1">
        <f t="array" ref="K253">IF(SUM(Quantity!O254:Z254)=0,"",SUM(Quantity!O254:Z254))</f>
        <v/>
      </c>
      <c r="L253" s="24" t="str" cm="1">
        <f t="array" ref="L253">IF(SUM(CA!O254:Z254)=0,"",SUM(CA!O254:Z254))</f>
        <v/>
      </c>
      <c r="M253" s="23" t="str" cm="1">
        <f t="array" ref="M253">IF(SUM(Quantity!C254:N254)=0,"",SUM(Quantity!C254:N254))</f>
        <v/>
      </c>
      <c r="N253" s="25" t="str" cm="1">
        <f t="array" ref="N253">IF(SUM(CA!C254:N254)=0,"",SUM(CA!C254:N254))</f>
        <v/>
      </c>
    </row>
    <row r="254" spans="1:14" x14ac:dyDescent="0.25">
      <c r="A254" s="1"/>
      <c r="B254" s="22" cm="1">
        <f t="array" ref="B254">Quantity!B255</f>
        <v>0</v>
      </c>
      <c r="C254" s="23" cm="1">
        <f t="array" ref="C254">Quantity!O255</f>
        <v>0</v>
      </c>
      <c r="D254" s="24" cm="1">
        <f t="array" ref="D254">CA!O255</f>
        <v>0</v>
      </c>
      <c r="E254" s="23" cm="1">
        <f t="array" ref="E254">Quantity!C255</f>
        <v>0</v>
      </c>
      <c r="F254" s="25" cm="1">
        <f t="array" ref="F254">CA!C255</f>
        <v>0</v>
      </c>
      <c r="G254" s="26" cm="1">
        <f t="array" aca="1" ref="G254" ca="1">SUMIFS(Quantity!$C255:$AH255,Quantity!$C$7:$AH$7,H$6,Quantity!$C$8:$AH$8,TRUE)</f>
        <v>0</v>
      </c>
      <c r="H254" s="24" cm="1">
        <f t="array" aca="1" ref="H254" ca="1">SUMIFS(CA!$C255:$AQ255,CA!$C$7:$AQ$7,H$6,CA!$C$8:$AQ$8,TRUE)</f>
        <v>0</v>
      </c>
      <c r="I254" s="23" cm="1">
        <f t="array" aca="1" ref="I254" ca="1">SUMIFS(Quantity!$C255:$AH255,Quantity!$C$7:$AH$7,J$6,Quantity!$C$8:$AH$8,TRUE)</f>
        <v>0</v>
      </c>
      <c r="J254" s="25" cm="1">
        <f t="array" aca="1" ref="J254" ca="1">SUMIFS(CA!$C255:$AQ255,CA!$C$7:$AQ$7,J$6,CA!$C$8:$AQ$8,TRUE)</f>
        <v>0</v>
      </c>
      <c r="K254" s="26" t="str" cm="1">
        <f t="array" ref="K254">IF(SUM(Quantity!O255:Z255)=0,"",SUM(Quantity!O255:Z255))</f>
        <v/>
      </c>
      <c r="L254" s="24" t="str" cm="1">
        <f t="array" ref="L254">IF(SUM(CA!O255:Z255)=0,"",SUM(CA!O255:Z255))</f>
        <v/>
      </c>
      <c r="M254" s="23" t="str" cm="1">
        <f t="array" ref="M254">IF(SUM(Quantity!C255:N255)=0,"",SUM(Quantity!C255:N255))</f>
        <v/>
      </c>
      <c r="N254" s="25" t="str" cm="1">
        <f t="array" ref="N254">IF(SUM(CA!C255:N255)=0,"",SUM(CA!C255:N255))</f>
        <v/>
      </c>
    </row>
    <row r="255" spans="1:14" x14ac:dyDescent="0.25">
      <c r="A255" s="1"/>
      <c r="B255" s="22" cm="1">
        <f t="array" ref="B255">Quantity!B256</f>
        <v>0</v>
      </c>
      <c r="C255" s="23" cm="1">
        <f t="array" ref="C255">Quantity!O256</f>
        <v>0</v>
      </c>
      <c r="D255" s="24" cm="1">
        <f t="array" ref="D255">CA!O256</f>
        <v>0</v>
      </c>
      <c r="E255" s="23" cm="1">
        <f t="array" ref="E255">Quantity!C256</f>
        <v>0</v>
      </c>
      <c r="F255" s="25" cm="1">
        <f t="array" ref="F255">CA!C256</f>
        <v>0</v>
      </c>
      <c r="G255" s="26" cm="1">
        <f t="array" aca="1" ref="G255" ca="1">SUMIFS(Quantity!$C256:$AH256,Quantity!$C$7:$AH$7,H$6,Quantity!$C$8:$AH$8,TRUE)</f>
        <v>0</v>
      </c>
      <c r="H255" s="24" cm="1">
        <f t="array" aca="1" ref="H255" ca="1">SUMIFS(CA!$C256:$AQ256,CA!$C$7:$AQ$7,H$6,CA!$C$8:$AQ$8,TRUE)</f>
        <v>0</v>
      </c>
      <c r="I255" s="23" cm="1">
        <f t="array" aca="1" ref="I255" ca="1">SUMIFS(Quantity!$C256:$AH256,Quantity!$C$7:$AH$7,J$6,Quantity!$C$8:$AH$8,TRUE)</f>
        <v>0</v>
      </c>
      <c r="J255" s="25" cm="1">
        <f t="array" aca="1" ref="J255" ca="1">SUMIFS(CA!$C256:$AQ256,CA!$C$7:$AQ$7,J$6,CA!$C$8:$AQ$8,TRUE)</f>
        <v>0</v>
      </c>
      <c r="K255" s="26" t="str" cm="1">
        <f t="array" ref="K255">IF(SUM(Quantity!O256:Z256)=0,"",SUM(Quantity!O256:Z256))</f>
        <v/>
      </c>
      <c r="L255" s="24" t="str" cm="1">
        <f t="array" ref="L255">IF(SUM(CA!O256:Z256)=0,"",SUM(CA!O256:Z256))</f>
        <v/>
      </c>
      <c r="M255" s="23" t="str" cm="1">
        <f t="array" ref="M255">IF(SUM(Quantity!C256:N256)=0,"",SUM(Quantity!C256:N256))</f>
        <v/>
      </c>
      <c r="N255" s="25" t="str" cm="1">
        <f t="array" ref="N255">IF(SUM(CA!C256:N256)=0,"",SUM(CA!C256:N256))</f>
        <v/>
      </c>
    </row>
    <row r="256" spans="1:14" x14ac:dyDescent="0.25">
      <c r="A256" s="1"/>
      <c r="B256" s="22" cm="1">
        <f t="array" ref="B256">Quantity!B257</f>
        <v>0</v>
      </c>
      <c r="C256" s="23" cm="1">
        <f t="array" ref="C256">Quantity!O257</f>
        <v>0</v>
      </c>
      <c r="D256" s="24" cm="1">
        <f t="array" ref="D256">CA!O257</f>
        <v>0</v>
      </c>
      <c r="E256" s="23" cm="1">
        <f t="array" ref="E256">Quantity!C257</f>
        <v>0</v>
      </c>
      <c r="F256" s="25" cm="1">
        <f t="array" ref="F256">CA!C257</f>
        <v>0</v>
      </c>
      <c r="G256" s="26" cm="1">
        <f t="array" aca="1" ref="G256" ca="1">SUMIFS(Quantity!$C257:$AH257,Quantity!$C$7:$AH$7,H$6,Quantity!$C$8:$AH$8,TRUE)</f>
        <v>0</v>
      </c>
      <c r="H256" s="24" cm="1">
        <f t="array" aca="1" ref="H256" ca="1">SUMIFS(CA!$C257:$AQ257,CA!$C$7:$AQ$7,H$6,CA!$C$8:$AQ$8,TRUE)</f>
        <v>0</v>
      </c>
      <c r="I256" s="23" cm="1">
        <f t="array" aca="1" ref="I256" ca="1">SUMIFS(Quantity!$C257:$AH257,Quantity!$C$7:$AH$7,J$6,Quantity!$C$8:$AH$8,TRUE)</f>
        <v>0</v>
      </c>
      <c r="J256" s="25" cm="1">
        <f t="array" aca="1" ref="J256" ca="1">SUMIFS(CA!$C257:$AQ257,CA!$C$7:$AQ$7,J$6,CA!$C$8:$AQ$8,TRUE)</f>
        <v>0</v>
      </c>
      <c r="K256" s="26" t="str" cm="1">
        <f t="array" ref="K256">IF(SUM(Quantity!O257:Z257)=0,"",SUM(Quantity!O257:Z257))</f>
        <v/>
      </c>
      <c r="L256" s="24" t="str" cm="1">
        <f t="array" ref="L256">IF(SUM(CA!O257:Z257)=0,"",SUM(CA!O257:Z257))</f>
        <v/>
      </c>
      <c r="M256" s="23" t="str" cm="1">
        <f t="array" ref="M256">IF(SUM(Quantity!C257:N257)=0,"",SUM(Quantity!C257:N257))</f>
        <v/>
      </c>
      <c r="N256" s="25" t="str" cm="1">
        <f t="array" ref="N256">IF(SUM(CA!C257:N257)=0,"",SUM(CA!C257:N257))</f>
        <v/>
      </c>
    </row>
    <row r="257" spans="1:14" x14ac:dyDescent="0.25">
      <c r="A257" s="1"/>
      <c r="B257" s="22" cm="1">
        <f t="array" ref="B257">Quantity!B258</f>
        <v>0</v>
      </c>
      <c r="C257" s="23" cm="1">
        <f t="array" ref="C257">Quantity!O258</f>
        <v>0</v>
      </c>
      <c r="D257" s="24" cm="1">
        <f t="array" ref="D257">CA!O258</f>
        <v>0</v>
      </c>
      <c r="E257" s="23" cm="1">
        <f t="array" ref="E257">Quantity!C258</f>
        <v>0</v>
      </c>
      <c r="F257" s="25" cm="1">
        <f t="array" ref="F257">CA!C258</f>
        <v>0</v>
      </c>
      <c r="G257" s="26" cm="1">
        <f t="array" aca="1" ref="G257" ca="1">SUMIFS(Quantity!$C258:$AH258,Quantity!$C$7:$AH$7,H$6,Quantity!$C$8:$AH$8,TRUE)</f>
        <v>0</v>
      </c>
      <c r="H257" s="24" cm="1">
        <f t="array" aca="1" ref="H257" ca="1">SUMIFS(CA!$C258:$AQ258,CA!$C$7:$AQ$7,H$6,CA!$C$8:$AQ$8,TRUE)</f>
        <v>0</v>
      </c>
      <c r="I257" s="23" cm="1">
        <f t="array" aca="1" ref="I257" ca="1">SUMIFS(Quantity!$C258:$AH258,Quantity!$C$7:$AH$7,J$6,Quantity!$C$8:$AH$8,TRUE)</f>
        <v>0</v>
      </c>
      <c r="J257" s="25" cm="1">
        <f t="array" aca="1" ref="J257" ca="1">SUMIFS(CA!$C258:$AQ258,CA!$C$7:$AQ$7,J$6,CA!$C$8:$AQ$8,TRUE)</f>
        <v>0</v>
      </c>
      <c r="K257" s="26" t="str" cm="1">
        <f t="array" ref="K257">IF(SUM(Quantity!O258:Z258)=0,"",SUM(Quantity!O258:Z258))</f>
        <v/>
      </c>
      <c r="L257" s="24" t="str" cm="1">
        <f t="array" ref="L257">IF(SUM(CA!O258:Z258)=0,"",SUM(CA!O258:Z258))</f>
        <v/>
      </c>
      <c r="M257" s="23" t="str" cm="1">
        <f t="array" ref="M257">IF(SUM(Quantity!C258:N258)=0,"",SUM(Quantity!C258:N258))</f>
        <v/>
      </c>
      <c r="N257" s="25" t="str" cm="1">
        <f t="array" ref="N257">IF(SUM(CA!C258:N258)=0,"",SUM(CA!C258:N258))</f>
        <v/>
      </c>
    </row>
    <row r="258" spans="1:14" x14ac:dyDescent="0.25">
      <c r="A258" s="1"/>
      <c r="B258" s="22" cm="1">
        <f t="array" ref="B258">Quantity!B259</f>
        <v>0</v>
      </c>
      <c r="C258" s="23" cm="1">
        <f t="array" ref="C258">Quantity!O259</f>
        <v>0</v>
      </c>
      <c r="D258" s="24" cm="1">
        <f t="array" ref="D258">CA!O259</f>
        <v>0</v>
      </c>
      <c r="E258" s="23" cm="1">
        <f t="array" ref="E258">Quantity!C259</f>
        <v>0</v>
      </c>
      <c r="F258" s="25" cm="1">
        <f t="array" ref="F258">CA!C259</f>
        <v>0</v>
      </c>
      <c r="G258" s="26" cm="1">
        <f t="array" aca="1" ref="G258" ca="1">SUMIFS(Quantity!$C259:$AH259,Quantity!$C$7:$AH$7,H$6,Quantity!$C$8:$AH$8,TRUE)</f>
        <v>0</v>
      </c>
      <c r="H258" s="24" cm="1">
        <f t="array" aca="1" ref="H258" ca="1">SUMIFS(CA!$C259:$AQ259,CA!$C$7:$AQ$7,H$6,CA!$C$8:$AQ$8,TRUE)</f>
        <v>0</v>
      </c>
      <c r="I258" s="23" cm="1">
        <f t="array" aca="1" ref="I258" ca="1">SUMIFS(Quantity!$C259:$AH259,Quantity!$C$7:$AH$7,J$6,Quantity!$C$8:$AH$8,TRUE)</f>
        <v>0</v>
      </c>
      <c r="J258" s="25" cm="1">
        <f t="array" aca="1" ref="J258" ca="1">SUMIFS(CA!$C259:$AQ259,CA!$C$7:$AQ$7,J$6,CA!$C$8:$AQ$8,TRUE)</f>
        <v>0</v>
      </c>
      <c r="K258" s="26" t="str" cm="1">
        <f t="array" ref="K258">IF(SUM(Quantity!O259:Z259)=0,"",SUM(Quantity!O259:Z259))</f>
        <v/>
      </c>
      <c r="L258" s="24" t="str" cm="1">
        <f t="array" ref="L258">IF(SUM(CA!O259:Z259)=0,"",SUM(CA!O259:Z259))</f>
        <v/>
      </c>
      <c r="M258" s="23" t="str" cm="1">
        <f t="array" ref="M258">IF(SUM(Quantity!C259:N259)=0,"",SUM(Quantity!C259:N259))</f>
        <v/>
      </c>
      <c r="N258" s="25" t="str" cm="1">
        <f t="array" ref="N258">IF(SUM(CA!C259:N259)=0,"",SUM(CA!C259:N259))</f>
        <v/>
      </c>
    </row>
    <row r="259" spans="1:14" x14ac:dyDescent="0.25">
      <c r="A259" s="1"/>
      <c r="B259" s="22" cm="1">
        <f t="array" ref="B259">Quantity!B260</f>
        <v>0</v>
      </c>
      <c r="C259" s="23" cm="1">
        <f t="array" ref="C259">Quantity!O260</f>
        <v>0</v>
      </c>
      <c r="D259" s="24" cm="1">
        <f t="array" ref="D259">CA!O260</f>
        <v>0</v>
      </c>
      <c r="E259" s="23" cm="1">
        <f t="array" ref="E259">Quantity!C260</f>
        <v>0</v>
      </c>
      <c r="F259" s="25" cm="1">
        <f t="array" ref="F259">CA!C260</f>
        <v>0</v>
      </c>
      <c r="G259" s="26" cm="1">
        <f t="array" aca="1" ref="G259" ca="1">SUMIFS(Quantity!$C260:$AH260,Quantity!$C$7:$AH$7,H$6,Quantity!$C$8:$AH$8,TRUE)</f>
        <v>0</v>
      </c>
      <c r="H259" s="24" cm="1">
        <f t="array" aca="1" ref="H259" ca="1">SUMIFS(CA!$C260:$AQ260,CA!$C$7:$AQ$7,H$6,CA!$C$8:$AQ$8,TRUE)</f>
        <v>0</v>
      </c>
      <c r="I259" s="23" cm="1">
        <f t="array" aca="1" ref="I259" ca="1">SUMIFS(Quantity!$C260:$AH260,Quantity!$C$7:$AH$7,J$6,Quantity!$C$8:$AH$8,TRUE)</f>
        <v>0</v>
      </c>
      <c r="J259" s="25" cm="1">
        <f t="array" aca="1" ref="J259" ca="1">SUMIFS(CA!$C260:$AQ260,CA!$C$7:$AQ$7,J$6,CA!$C$8:$AQ$8,TRUE)</f>
        <v>0</v>
      </c>
      <c r="K259" s="26" t="str" cm="1">
        <f t="array" ref="K259">IF(SUM(Quantity!O260:Z260)=0,"",SUM(Quantity!O260:Z260))</f>
        <v/>
      </c>
      <c r="L259" s="24" t="str" cm="1">
        <f t="array" ref="L259">IF(SUM(CA!O260:Z260)=0,"",SUM(CA!O260:Z260))</f>
        <v/>
      </c>
      <c r="M259" s="23" t="str" cm="1">
        <f t="array" ref="M259">IF(SUM(Quantity!C260:N260)=0,"",SUM(Quantity!C260:N260))</f>
        <v/>
      </c>
      <c r="N259" s="25" t="str" cm="1">
        <f t="array" ref="N259">IF(SUM(CA!C260:N260)=0,"",SUM(CA!C260:N260))</f>
        <v/>
      </c>
    </row>
    <row r="260" spans="1:14" x14ac:dyDescent="0.25">
      <c r="A260" s="1"/>
      <c r="B260" s="22" cm="1">
        <f t="array" ref="B260">Quantity!B261</f>
        <v>0</v>
      </c>
      <c r="C260" s="23" cm="1">
        <f t="array" ref="C260">Quantity!O261</f>
        <v>0</v>
      </c>
      <c r="D260" s="24" cm="1">
        <f t="array" ref="D260">CA!O261</f>
        <v>0</v>
      </c>
      <c r="E260" s="23" cm="1">
        <f t="array" ref="E260">Quantity!C261</f>
        <v>0</v>
      </c>
      <c r="F260" s="25" cm="1">
        <f t="array" ref="F260">CA!C261</f>
        <v>0</v>
      </c>
      <c r="G260" s="26" cm="1">
        <f t="array" aca="1" ref="G260" ca="1">SUMIFS(Quantity!$C261:$AH261,Quantity!$C$7:$AH$7,H$6,Quantity!$C$8:$AH$8,TRUE)</f>
        <v>0</v>
      </c>
      <c r="H260" s="24" cm="1">
        <f t="array" aca="1" ref="H260" ca="1">SUMIFS(CA!$C261:$AQ261,CA!$C$7:$AQ$7,H$6,CA!$C$8:$AQ$8,TRUE)</f>
        <v>0</v>
      </c>
      <c r="I260" s="23" cm="1">
        <f t="array" aca="1" ref="I260" ca="1">SUMIFS(Quantity!$C261:$AH261,Quantity!$C$7:$AH$7,J$6,Quantity!$C$8:$AH$8,TRUE)</f>
        <v>0</v>
      </c>
      <c r="J260" s="25" cm="1">
        <f t="array" aca="1" ref="J260" ca="1">SUMIFS(CA!$C261:$AQ261,CA!$C$7:$AQ$7,J$6,CA!$C$8:$AQ$8,TRUE)</f>
        <v>0</v>
      </c>
      <c r="K260" s="26" t="str" cm="1">
        <f t="array" ref="K260">IF(SUM(Quantity!O261:Z261)=0,"",SUM(Quantity!O261:Z261))</f>
        <v/>
      </c>
      <c r="L260" s="24" t="str" cm="1">
        <f t="array" ref="L260">IF(SUM(CA!O261:Z261)=0,"",SUM(CA!O261:Z261))</f>
        <v/>
      </c>
      <c r="M260" s="23" t="str" cm="1">
        <f t="array" ref="M260">IF(SUM(Quantity!C261:N261)=0,"",SUM(Quantity!C261:N261))</f>
        <v/>
      </c>
      <c r="N260" s="25" t="str" cm="1">
        <f t="array" ref="N260">IF(SUM(CA!C261:N261)=0,"",SUM(CA!C261:N261))</f>
        <v/>
      </c>
    </row>
    <row r="261" spans="1:14" x14ac:dyDescent="0.25">
      <c r="A261" s="1"/>
      <c r="B261" s="22" cm="1">
        <f t="array" ref="B261">Quantity!B262</f>
        <v>0</v>
      </c>
      <c r="C261" s="23" cm="1">
        <f t="array" ref="C261">Quantity!O262</f>
        <v>0</v>
      </c>
      <c r="D261" s="24" cm="1">
        <f t="array" ref="D261">CA!O262</f>
        <v>0</v>
      </c>
      <c r="E261" s="23" cm="1">
        <f t="array" ref="E261">Quantity!C262</f>
        <v>0</v>
      </c>
      <c r="F261" s="25" cm="1">
        <f t="array" ref="F261">CA!C262</f>
        <v>0</v>
      </c>
      <c r="G261" s="26" cm="1">
        <f t="array" aca="1" ref="G261" ca="1">SUMIFS(Quantity!$C262:$AH262,Quantity!$C$7:$AH$7,H$6,Quantity!$C$8:$AH$8,TRUE)</f>
        <v>0</v>
      </c>
      <c r="H261" s="24" cm="1">
        <f t="array" aca="1" ref="H261" ca="1">SUMIFS(CA!$C262:$AQ262,CA!$C$7:$AQ$7,H$6,CA!$C$8:$AQ$8,TRUE)</f>
        <v>0</v>
      </c>
      <c r="I261" s="23" cm="1">
        <f t="array" aca="1" ref="I261" ca="1">SUMIFS(Quantity!$C262:$AH262,Quantity!$C$7:$AH$7,J$6,Quantity!$C$8:$AH$8,TRUE)</f>
        <v>0</v>
      </c>
      <c r="J261" s="25" cm="1">
        <f t="array" aca="1" ref="J261" ca="1">SUMIFS(CA!$C262:$AQ262,CA!$C$7:$AQ$7,J$6,CA!$C$8:$AQ$8,TRUE)</f>
        <v>0</v>
      </c>
      <c r="K261" s="26" t="str" cm="1">
        <f t="array" ref="K261">IF(SUM(Quantity!O262:Z262)=0,"",SUM(Quantity!O262:Z262))</f>
        <v/>
      </c>
      <c r="L261" s="24" t="str" cm="1">
        <f t="array" ref="L261">IF(SUM(CA!O262:Z262)=0,"",SUM(CA!O262:Z262))</f>
        <v/>
      </c>
      <c r="M261" s="23" t="str" cm="1">
        <f t="array" ref="M261">IF(SUM(Quantity!C262:N262)=0,"",SUM(Quantity!C262:N262))</f>
        <v/>
      </c>
      <c r="N261" s="25" t="str" cm="1">
        <f t="array" ref="N261">IF(SUM(CA!C262:N262)=0,"",SUM(CA!C262:N262))</f>
        <v/>
      </c>
    </row>
    <row r="262" spans="1:14" x14ac:dyDescent="0.25">
      <c r="A262" s="1"/>
      <c r="B262" s="22" cm="1">
        <f t="array" ref="B262">Quantity!B263</f>
        <v>0</v>
      </c>
      <c r="C262" s="23" cm="1">
        <f t="array" ref="C262">Quantity!O263</f>
        <v>0</v>
      </c>
      <c r="D262" s="24" cm="1">
        <f t="array" ref="D262">CA!O263</f>
        <v>0</v>
      </c>
      <c r="E262" s="23" cm="1">
        <f t="array" ref="E262">Quantity!C263</f>
        <v>0</v>
      </c>
      <c r="F262" s="25" cm="1">
        <f t="array" ref="F262">CA!C263</f>
        <v>0</v>
      </c>
      <c r="G262" s="26" cm="1">
        <f t="array" aca="1" ref="G262" ca="1">SUMIFS(Quantity!$C263:$AH263,Quantity!$C$7:$AH$7,H$6,Quantity!$C$8:$AH$8,TRUE)</f>
        <v>0</v>
      </c>
      <c r="H262" s="24" cm="1">
        <f t="array" aca="1" ref="H262" ca="1">SUMIFS(CA!$C263:$AQ263,CA!$C$7:$AQ$7,H$6,CA!$C$8:$AQ$8,TRUE)</f>
        <v>0</v>
      </c>
      <c r="I262" s="23" cm="1">
        <f t="array" aca="1" ref="I262" ca="1">SUMIFS(Quantity!$C263:$AH263,Quantity!$C$7:$AH$7,J$6,Quantity!$C$8:$AH$8,TRUE)</f>
        <v>0</v>
      </c>
      <c r="J262" s="25" cm="1">
        <f t="array" aca="1" ref="J262" ca="1">SUMIFS(CA!$C263:$AQ263,CA!$C$7:$AQ$7,J$6,CA!$C$8:$AQ$8,TRUE)</f>
        <v>0</v>
      </c>
      <c r="K262" s="26" t="str" cm="1">
        <f t="array" ref="K262">IF(SUM(Quantity!O263:Z263)=0,"",SUM(Quantity!O263:Z263))</f>
        <v/>
      </c>
      <c r="L262" s="24" t="str" cm="1">
        <f t="array" ref="L262">IF(SUM(CA!O263:Z263)=0,"",SUM(CA!O263:Z263))</f>
        <v/>
      </c>
      <c r="M262" s="23" t="str" cm="1">
        <f t="array" ref="M262">IF(SUM(Quantity!C263:N263)=0,"",SUM(Quantity!C263:N263))</f>
        <v/>
      </c>
      <c r="N262" s="25" t="str" cm="1">
        <f t="array" ref="N262">IF(SUM(CA!C263:N263)=0,"",SUM(CA!C263:N263))</f>
        <v/>
      </c>
    </row>
    <row r="263" spans="1:14" x14ac:dyDescent="0.25">
      <c r="A263" s="1"/>
      <c r="B263" s="22" cm="1">
        <f t="array" ref="B263">Quantity!B264</f>
        <v>0</v>
      </c>
      <c r="C263" s="23" cm="1">
        <f t="array" ref="C263">Quantity!O264</f>
        <v>0</v>
      </c>
      <c r="D263" s="24" cm="1">
        <f t="array" ref="D263">CA!O264</f>
        <v>0</v>
      </c>
      <c r="E263" s="23" cm="1">
        <f t="array" ref="E263">Quantity!C264</f>
        <v>0</v>
      </c>
      <c r="F263" s="25" cm="1">
        <f t="array" ref="F263">CA!C264</f>
        <v>0</v>
      </c>
      <c r="G263" s="26" cm="1">
        <f t="array" aca="1" ref="G263" ca="1">SUMIFS(Quantity!$C264:$AH264,Quantity!$C$7:$AH$7,H$6,Quantity!$C$8:$AH$8,TRUE)</f>
        <v>0</v>
      </c>
      <c r="H263" s="24" cm="1">
        <f t="array" aca="1" ref="H263" ca="1">SUMIFS(CA!$C264:$AQ264,CA!$C$7:$AQ$7,H$6,CA!$C$8:$AQ$8,TRUE)</f>
        <v>0</v>
      </c>
      <c r="I263" s="23" cm="1">
        <f t="array" aca="1" ref="I263" ca="1">SUMIFS(Quantity!$C264:$AH264,Quantity!$C$7:$AH$7,J$6,Quantity!$C$8:$AH$8,TRUE)</f>
        <v>0</v>
      </c>
      <c r="J263" s="25" cm="1">
        <f t="array" aca="1" ref="J263" ca="1">SUMIFS(CA!$C264:$AQ264,CA!$C$7:$AQ$7,J$6,CA!$C$8:$AQ$8,TRUE)</f>
        <v>0</v>
      </c>
      <c r="K263" s="26" t="str" cm="1">
        <f t="array" ref="K263">IF(SUM(Quantity!O264:Z264)=0,"",SUM(Quantity!O264:Z264))</f>
        <v/>
      </c>
      <c r="L263" s="24" t="str" cm="1">
        <f t="array" ref="L263">IF(SUM(CA!O264:Z264)=0,"",SUM(CA!O264:Z264))</f>
        <v/>
      </c>
      <c r="M263" s="23" t="str" cm="1">
        <f t="array" ref="M263">IF(SUM(Quantity!C264:N264)=0,"",SUM(Quantity!C264:N264))</f>
        <v/>
      </c>
      <c r="N263" s="25" t="str" cm="1">
        <f t="array" ref="N263">IF(SUM(CA!C264:N264)=0,"",SUM(CA!C264:N264))</f>
        <v/>
      </c>
    </row>
    <row r="264" spans="1:14" x14ac:dyDescent="0.25">
      <c r="A264" s="1"/>
      <c r="B264" s="22" cm="1">
        <f t="array" ref="B264">Quantity!B265</f>
        <v>0</v>
      </c>
      <c r="C264" s="23" cm="1">
        <f t="array" ref="C264">Quantity!O265</f>
        <v>0</v>
      </c>
      <c r="D264" s="24" cm="1">
        <f t="array" ref="D264">CA!O265</f>
        <v>0</v>
      </c>
      <c r="E264" s="23" cm="1">
        <f t="array" ref="E264">Quantity!C265</f>
        <v>0</v>
      </c>
      <c r="F264" s="25" cm="1">
        <f t="array" ref="F264">CA!C265</f>
        <v>0</v>
      </c>
      <c r="G264" s="26" cm="1">
        <f t="array" aca="1" ref="G264" ca="1">SUMIFS(Quantity!$C265:$AH265,Quantity!$C$7:$AH$7,H$6,Quantity!$C$8:$AH$8,TRUE)</f>
        <v>0</v>
      </c>
      <c r="H264" s="24" cm="1">
        <f t="array" aca="1" ref="H264" ca="1">SUMIFS(CA!$C265:$AQ265,CA!$C$7:$AQ$7,H$6,CA!$C$8:$AQ$8,TRUE)</f>
        <v>0</v>
      </c>
      <c r="I264" s="23" cm="1">
        <f t="array" aca="1" ref="I264" ca="1">SUMIFS(Quantity!$C265:$AH265,Quantity!$C$7:$AH$7,J$6,Quantity!$C$8:$AH$8,TRUE)</f>
        <v>0</v>
      </c>
      <c r="J264" s="25" cm="1">
        <f t="array" aca="1" ref="J264" ca="1">SUMIFS(CA!$C265:$AQ265,CA!$C$7:$AQ$7,J$6,CA!$C$8:$AQ$8,TRUE)</f>
        <v>0</v>
      </c>
      <c r="K264" s="26" t="str" cm="1">
        <f t="array" ref="K264">IF(SUM(Quantity!O265:Z265)=0,"",SUM(Quantity!O265:Z265))</f>
        <v/>
      </c>
      <c r="L264" s="24" t="str" cm="1">
        <f t="array" ref="L264">IF(SUM(CA!O265:Z265)=0,"",SUM(CA!O265:Z265))</f>
        <v/>
      </c>
      <c r="M264" s="23" t="str" cm="1">
        <f t="array" ref="M264">IF(SUM(Quantity!C265:N265)=0,"",SUM(Quantity!C265:N265))</f>
        <v/>
      </c>
      <c r="N264" s="25" t="str" cm="1">
        <f t="array" ref="N264">IF(SUM(CA!C265:N265)=0,"",SUM(CA!C265:N265))</f>
        <v/>
      </c>
    </row>
    <row r="265" spans="1:14" x14ac:dyDescent="0.25">
      <c r="A265" s="1"/>
      <c r="B265" s="22" cm="1">
        <f t="array" ref="B265">Quantity!B266</f>
        <v>0</v>
      </c>
      <c r="C265" s="23" cm="1">
        <f t="array" ref="C265">Quantity!O266</f>
        <v>0</v>
      </c>
      <c r="D265" s="24" cm="1">
        <f t="array" ref="D265">CA!O266</f>
        <v>0</v>
      </c>
      <c r="E265" s="23" cm="1">
        <f t="array" ref="E265">Quantity!C266</f>
        <v>0</v>
      </c>
      <c r="F265" s="25" cm="1">
        <f t="array" ref="F265">CA!C266</f>
        <v>0</v>
      </c>
      <c r="G265" s="26" cm="1">
        <f t="array" aca="1" ref="G265" ca="1">SUMIFS(Quantity!$C266:$AH266,Quantity!$C$7:$AH$7,H$6,Quantity!$C$8:$AH$8,TRUE)</f>
        <v>0</v>
      </c>
      <c r="H265" s="24" cm="1">
        <f t="array" aca="1" ref="H265" ca="1">SUMIFS(CA!$C266:$AQ266,CA!$C$7:$AQ$7,H$6,CA!$C$8:$AQ$8,TRUE)</f>
        <v>0</v>
      </c>
      <c r="I265" s="23" cm="1">
        <f t="array" aca="1" ref="I265" ca="1">SUMIFS(Quantity!$C266:$AH266,Quantity!$C$7:$AH$7,J$6,Quantity!$C$8:$AH$8,TRUE)</f>
        <v>0</v>
      </c>
      <c r="J265" s="25" cm="1">
        <f t="array" aca="1" ref="J265" ca="1">SUMIFS(CA!$C266:$AQ266,CA!$C$7:$AQ$7,J$6,CA!$C$8:$AQ$8,TRUE)</f>
        <v>0</v>
      </c>
      <c r="K265" s="26" t="str" cm="1">
        <f t="array" ref="K265">IF(SUM(Quantity!O266:Z266)=0,"",SUM(Quantity!O266:Z266))</f>
        <v/>
      </c>
      <c r="L265" s="24" t="str" cm="1">
        <f t="array" ref="L265">IF(SUM(CA!O266:Z266)=0,"",SUM(CA!O266:Z266))</f>
        <v/>
      </c>
      <c r="M265" s="23" t="str" cm="1">
        <f t="array" ref="M265">IF(SUM(Quantity!C266:N266)=0,"",SUM(Quantity!C266:N266))</f>
        <v/>
      </c>
      <c r="N265" s="25" t="str" cm="1">
        <f t="array" ref="N265">IF(SUM(CA!C266:N266)=0,"",SUM(CA!C266:N266))</f>
        <v/>
      </c>
    </row>
    <row r="266" spans="1:14" x14ac:dyDescent="0.25">
      <c r="A266" s="1"/>
      <c r="B266" s="22" cm="1">
        <f t="array" ref="B266">Quantity!B267</f>
        <v>0</v>
      </c>
      <c r="C266" s="23" cm="1">
        <f t="array" ref="C266">Quantity!O267</f>
        <v>0</v>
      </c>
      <c r="D266" s="24" cm="1">
        <f t="array" ref="D266">CA!O267</f>
        <v>0</v>
      </c>
      <c r="E266" s="23" cm="1">
        <f t="array" ref="E266">Quantity!C267</f>
        <v>0</v>
      </c>
      <c r="F266" s="25" cm="1">
        <f t="array" ref="F266">CA!C267</f>
        <v>0</v>
      </c>
      <c r="G266" s="26" cm="1">
        <f t="array" aca="1" ref="G266" ca="1">SUMIFS(Quantity!$C267:$AH267,Quantity!$C$7:$AH$7,H$6,Quantity!$C$8:$AH$8,TRUE)</f>
        <v>0</v>
      </c>
      <c r="H266" s="24" cm="1">
        <f t="array" aca="1" ref="H266" ca="1">SUMIFS(CA!$C267:$AQ267,CA!$C$7:$AQ$7,H$6,CA!$C$8:$AQ$8,TRUE)</f>
        <v>0</v>
      </c>
      <c r="I266" s="23" cm="1">
        <f t="array" aca="1" ref="I266" ca="1">SUMIFS(Quantity!$C267:$AH267,Quantity!$C$7:$AH$7,J$6,Quantity!$C$8:$AH$8,TRUE)</f>
        <v>0</v>
      </c>
      <c r="J266" s="25" cm="1">
        <f t="array" aca="1" ref="J266" ca="1">SUMIFS(CA!$C267:$AQ267,CA!$C$7:$AQ$7,J$6,CA!$C$8:$AQ$8,TRUE)</f>
        <v>0</v>
      </c>
      <c r="K266" s="26" t="str" cm="1">
        <f t="array" ref="K266">IF(SUM(Quantity!O267:Z267)=0,"",SUM(Quantity!O267:Z267))</f>
        <v/>
      </c>
      <c r="L266" s="24" t="str" cm="1">
        <f t="array" ref="L266">IF(SUM(CA!O267:Z267)=0,"",SUM(CA!O267:Z267))</f>
        <v/>
      </c>
      <c r="M266" s="23" t="str" cm="1">
        <f t="array" ref="M266">IF(SUM(Quantity!C267:N267)=0,"",SUM(Quantity!C267:N267))</f>
        <v/>
      </c>
      <c r="N266" s="25" t="str" cm="1">
        <f t="array" ref="N266">IF(SUM(CA!C267:N267)=0,"",SUM(CA!C267:N267))</f>
        <v/>
      </c>
    </row>
    <row r="267" spans="1:14" x14ac:dyDescent="0.25">
      <c r="A267" s="1"/>
      <c r="B267" s="22" cm="1">
        <f t="array" ref="B267">Quantity!B268</f>
        <v>0</v>
      </c>
      <c r="C267" s="23" cm="1">
        <f t="array" ref="C267">Quantity!O268</f>
        <v>0</v>
      </c>
      <c r="D267" s="24" cm="1">
        <f t="array" ref="D267">CA!O268</f>
        <v>0</v>
      </c>
      <c r="E267" s="23" cm="1">
        <f t="array" ref="E267">Quantity!C268</f>
        <v>0</v>
      </c>
      <c r="F267" s="25" cm="1">
        <f t="array" ref="F267">CA!C268</f>
        <v>0</v>
      </c>
      <c r="G267" s="26" cm="1">
        <f t="array" aca="1" ref="G267" ca="1">SUMIFS(Quantity!$C268:$AH268,Quantity!$C$7:$AH$7,H$6,Quantity!$C$8:$AH$8,TRUE)</f>
        <v>0</v>
      </c>
      <c r="H267" s="24" cm="1">
        <f t="array" aca="1" ref="H267" ca="1">SUMIFS(CA!$C268:$AQ268,CA!$C$7:$AQ$7,H$6,CA!$C$8:$AQ$8,TRUE)</f>
        <v>0</v>
      </c>
      <c r="I267" s="23" cm="1">
        <f t="array" aca="1" ref="I267" ca="1">SUMIFS(Quantity!$C268:$AH268,Quantity!$C$7:$AH$7,J$6,Quantity!$C$8:$AH$8,TRUE)</f>
        <v>0</v>
      </c>
      <c r="J267" s="25" cm="1">
        <f t="array" aca="1" ref="J267" ca="1">SUMIFS(CA!$C268:$AQ268,CA!$C$7:$AQ$7,J$6,CA!$C$8:$AQ$8,TRUE)</f>
        <v>0</v>
      </c>
      <c r="K267" s="26" t="str" cm="1">
        <f t="array" ref="K267">IF(SUM(Quantity!O268:Z268)=0,"",SUM(Quantity!O268:Z268))</f>
        <v/>
      </c>
      <c r="L267" s="24" t="str" cm="1">
        <f t="array" ref="L267">IF(SUM(CA!O268:Z268)=0,"",SUM(CA!O268:Z268))</f>
        <v/>
      </c>
      <c r="M267" s="23" t="str" cm="1">
        <f t="array" ref="M267">IF(SUM(Quantity!C268:N268)=0,"",SUM(Quantity!C268:N268))</f>
        <v/>
      </c>
      <c r="N267" s="25" t="str" cm="1">
        <f t="array" ref="N267">IF(SUM(CA!C268:N268)=0,"",SUM(CA!C268:N268))</f>
        <v/>
      </c>
    </row>
    <row r="268" spans="1:14" x14ac:dyDescent="0.25">
      <c r="A268" s="1"/>
      <c r="B268" s="22" cm="1">
        <f t="array" ref="B268">Quantity!B269</f>
        <v>0</v>
      </c>
      <c r="C268" s="23" cm="1">
        <f t="array" ref="C268">Quantity!O269</f>
        <v>0</v>
      </c>
      <c r="D268" s="24" cm="1">
        <f t="array" ref="D268">CA!O269</f>
        <v>0</v>
      </c>
      <c r="E268" s="23" cm="1">
        <f t="array" ref="E268">Quantity!C269</f>
        <v>0</v>
      </c>
      <c r="F268" s="25" cm="1">
        <f t="array" ref="F268">CA!C269</f>
        <v>0</v>
      </c>
      <c r="G268" s="26" cm="1">
        <f t="array" aca="1" ref="G268" ca="1">SUMIFS(Quantity!$C269:$AH269,Quantity!$C$7:$AH$7,H$6,Quantity!$C$8:$AH$8,TRUE)</f>
        <v>0</v>
      </c>
      <c r="H268" s="24" cm="1">
        <f t="array" aca="1" ref="H268" ca="1">SUMIFS(CA!$C269:$AQ269,CA!$C$7:$AQ$7,H$6,CA!$C$8:$AQ$8,TRUE)</f>
        <v>0</v>
      </c>
      <c r="I268" s="23" cm="1">
        <f t="array" aca="1" ref="I268" ca="1">SUMIFS(Quantity!$C269:$AH269,Quantity!$C$7:$AH$7,J$6,Quantity!$C$8:$AH$8,TRUE)</f>
        <v>0</v>
      </c>
      <c r="J268" s="25" cm="1">
        <f t="array" aca="1" ref="J268" ca="1">SUMIFS(CA!$C269:$AQ269,CA!$C$7:$AQ$7,J$6,CA!$C$8:$AQ$8,TRUE)</f>
        <v>0</v>
      </c>
      <c r="K268" s="26" t="str" cm="1">
        <f t="array" ref="K268">IF(SUM(Quantity!O269:Z269)=0,"",SUM(Quantity!O269:Z269))</f>
        <v/>
      </c>
      <c r="L268" s="24" t="str" cm="1">
        <f t="array" ref="L268">IF(SUM(CA!O269:Z269)=0,"",SUM(CA!O269:Z269))</f>
        <v/>
      </c>
      <c r="M268" s="23" t="str" cm="1">
        <f t="array" ref="M268">IF(SUM(Quantity!C269:N269)=0,"",SUM(Quantity!C269:N269))</f>
        <v/>
      </c>
      <c r="N268" s="25" t="str" cm="1">
        <f t="array" ref="N268">IF(SUM(CA!C269:N269)=0,"",SUM(CA!C269:N269))</f>
        <v/>
      </c>
    </row>
    <row r="269" spans="1:14" x14ac:dyDescent="0.25">
      <c r="A269" s="1"/>
      <c r="B269" s="22" cm="1">
        <f t="array" ref="B269">Quantity!B270</f>
        <v>0</v>
      </c>
      <c r="C269" s="23" cm="1">
        <f t="array" ref="C269">Quantity!O270</f>
        <v>0</v>
      </c>
      <c r="D269" s="24" cm="1">
        <f t="array" ref="D269">CA!O270</f>
        <v>0</v>
      </c>
      <c r="E269" s="23" cm="1">
        <f t="array" ref="E269">Quantity!C270</f>
        <v>0</v>
      </c>
      <c r="F269" s="25" cm="1">
        <f t="array" ref="F269">CA!C270</f>
        <v>0</v>
      </c>
      <c r="G269" s="26" cm="1">
        <f t="array" aca="1" ref="G269" ca="1">SUMIFS(Quantity!$C270:$AH270,Quantity!$C$7:$AH$7,H$6,Quantity!$C$8:$AH$8,TRUE)</f>
        <v>0</v>
      </c>
      <c r="H269" s="24" cm="1">
        <f t="array" aca="1" ref="H269" ca="1">SUMIFS(CA!$C270:$AQ270,CA!$C$7:$AQ$7,H$6,CA!$C$8:$AQ$8,TRUE)</f>
        <v>0</v>
      </c>
      <c r="I269" s="23" cm="1">
        <f t="array" aca="1" ref="I269" ca="1">SUMIFS(Quantity!$C270:$AH270,Quantity!$C$7:$AH$7,J$6,Quantity!$C$8:$AH$8,TRUE)</f>
        <v>0</v>
      </c>
      <c r="J269" s="25" cm="1">
        <f t="array" aca="1" ref="J269" ca="1">SUMIFS(CA!$C270:$AQ270,CA!$C$7:$AQ$7,J$6,CA!$C$8:$AQ$8,TRUE)</f>
        <v>0</v>
      </c>
      <c r="K269" s="26" t="str" cm="1">
        <f t="array" ref="K269">IF(SUM(Quantity!O270:Z270)=0,"",SUM(Quantity!O270:Z270))</f>
        <v/>
      </c>
      <c r="L269" s="24" t="str" cm="1">
        <f t="array" ref="L269">IF(SUM(CA!O270:Z270)=0,"",SUM(CA!O270:Z270))</f>
        <v/>
      </c>
      <c r="M269" s="23" t="str" cm="1">
        <f t="array" ref="M269">IF(SUM(Quantity!C270:N270)=0,"",SUM(Quantity!C270:N270))</f>
        <v/>
      </c>
      <c r="N269" s="25" t="str" cm="1">
        <f t="array" ref="N269">IF(SUM(CA!C270:N270)=0,"",SUM(CA!C270:N270))</f>
        <v/>
      </c>
    </row>
    <row r="270" spans="1:14" x14ac:dyDescent="0.25">
      <c r="A270" s="1"/>
      <c r="B270" s="22" cm="1">
        <f t="array" ref="B270">Quantity!B271</f>
        <v>0</v>
      </c>
      <c r="C270" s="23" cm="1">
        <f t="array" ref="C270">Quantity!O271</f>
        <v>0</v>
      </c>
      <c r="D270" s="24" cm="1">
        <f t="array" ref="D270">CA!O271</f>
        <v>0</v>
      </c>
      <c r="E270" s="23" cm="1">
        <f t="array" ref="E270">Quantity!C271</f>
        <v>0</v>
      </c>
      <c r="F270" s="25" cm="1">
        <f t="array" ref="F270">CA!C271</f>
        <v>0</v>
      </c>
      <c r="G270" s="26" cm="1">
        <f t="array" aca="1" ref="G270" ca="1">SUMIFS(Quantity!$C271:$AH271,Quantity!$C$7:$AH$7,H$6,Quantity!$C$8:$AH$8,TRUE)</f>
        <v>0</v>
      </c>
      <c r="H270" s="24" cm="1">
        <f t="array" aca="1" ref="H270" ca="1">SUMIFS(CA!$C271:$AQ271,CA!$C$7:$AQ$7,H$6,CA!$C$8:$AQ$8,TRUE)</f>
        <v>0</v>
      </c>
      <c r="I270" s="23" cm="1">
        <f t="array" aca="1" ref="I270" ca="1">SUMIFS(Quantity!$C271:$AH271,Quantity!$C$7:$AH$7,J$6,Quantity!$C$8:$AH$8,TRUE)</f>
        <v>0</v>
      </c>
      <c r="J270" s="25" cm="1">
        <f t="array" aca="1" ref="J270" ca="1">SUMIFS(CA!$C271:$AQ271,CA!$C$7:$AQ$7,J$6,CA!$C$8:$AQ$8,TRUE)</f>
        <v>0</v>
      </c>
      <c r="K270" s="26" t="str" cm="1">
        <f t="array" ref="K270">IF(SUM(Quantity!O271:Z271)=0,"",SUM(Quantity!O271:Z271))</f>
        <v/>
      </c>
      <c r="L270" s="24" t="str" cm="1">
        <f t="array" ref="L270">IF(SUM(CA!O271:Z271)=0,"",SUM(CA!O271:Z271))</f>
        <v/>
      </c>
      <c r="M270" s="23" t="str" cm="1">
        <f t="array" ref="M270">IF(SUM(Quantity!C271:N271)=0,"",SUM(Quantity!C271:N271))</f>
        <v/>
      </c>
      <c r="N270" s="25" t="str" cm="1">
        <f t="array" ref="N270">IF(SUM(CA!C271:N271)=0,"",SUM(CA!C271:N271))</f>
        <v/>
      </c>
    </row>
    <row r="271" spans="1:14" x14ac:dyDescent="0.25">
      <c r="A271" s="1"/>
      <c r="B271" s="22" cm="1">
        <f t="array" ref="B271">Quantity!B272</f>
        <v>0</v>
      </c>
      <c r="C271" s="23" cm="1">
        <f t="array" ref="C271">Quantity!O272</f>
        <v>0</v>
      </c>
      <c r="D271" s="24" cm="1">
        <f t="array" ref="D271">CA!O272</f>
        <v>0</v>
      </c>
      <c r="E271" s="23" cm="1">
        <f t="array" ref="E271">Quantity!C272</f>
        <v>0</v>
      </c>
      <c r="F271" s="25" cm="1">
        <f t="array" ref="F271">CA!C272</f>
        <v>0</v>
      </c>
      <c r="G271" s="26" cm="1">
        <f t="array" aca="1" ref="G271" ca="1">SUMIFS(Quantity!$C272:$AH272,Quantity!$C$7:$AH$7,H$6,Quantity!$C$8:$AH$8,TRUE)</f>
        <v>0</v>
      </c>
      <c r="H271" s="24" cm="1">
        <f t="array" aca="1" ref="H271" ca="1">SUMIFS(CA!$C272:$AQ272,CA!$C$7:$AQ$7,H$6,CA!$C$8:$AQ$8,TRUE)</f>
        <v>0</v>
      </c>
      <c r="I271" s="23" cm="1">
        <f t="array" aca="1" ref="I271" ca="1">SUMIFS(Quantity!$C272:$AH272,Quantity!$C$7:$AH$7,J$6,Quantity!$C$8:$AH$8,TRUE)</f>
        <v>0</v>
      </c>
      <c r="J271" s="25" cm="1">
        <f t="array" aca="1" ref="J271" ca="1">SUMIFS(CA!$C272:$AQ272,CA!$C$7:$AQ$7,J$6,CA!$C$8:$AQ$8,TRUE)</f>
        <v>0</v>
      </c>
      <c r="K271" s="26" t="str" cm="1">
        <f t="array" ref="K271">IF(SUM(Quantity!O272:Z272)=0,"",SUM(Quantity!O272:Z272))</f>
        <v/>
      </c>
      <c r="L271" s="24" t="str" cm="1">
        <f t="array" ref="L271">IF(SUM(CA!O272:Z272)=0,"",SUM(CA!O272:Z272))</f>
        <v/>
      </c>
      <c r="M271" s="23" t="str" cm="1">
        <f t="array" ref="M271">IF(SUM(Quantity!C272:N272)=0,"",SUM(Quantity!C272:N272))</f>
        <v/>
      </c>
      <c r="N271" s="25" t="str" cm="1">
        <f t="array" ref="N271">IF(SUM(CA!C272:N272)=0,"",SUM(CA!C272:N272))</f>
        <v/>
      </c>
    </row>
    <row r="272" spans="1:14" x14ac:dyDescent="0.25">
      <c r="A272" s="1"/>
      <c r="B272" s="22" cm="1">
        <f t="array" ref="B272">Quantity!B273</f>
        <v>0</v>
      </c>
      <c r="C272" s="23" cm="1">
        <f t="array" ref="C272">Quantity!O273</f>
        <v>0</v>
      </c>
      <c r="D272" s="24" cm="1">
        <f t="array" ref="D272">CA!O273</f>
        <v>0</v>
      </c>
      <c r="E272" s="23" cm="1">
        <f t="array" ref="E272">Quantity!C273</f>
        <v>0</v>
      </c>
      <c r="F272" s="25" cm="1">
        <f t="array" ref="F272">CA!C273</f>
        <v>0</v>
      </c>
      <c r="G272" s="26" cm="1">
        <f t="array" aca="1" ref="G272" ca="1">SUMIFS(Quantity!$C273:$AH273,Quantity!$C$7:$AH$7,H$6,Quantity!$C$8:$AH$8,TRUE)</f>
        <v>0</v>
      </c>
      <c r="H272" s="24" cm="1">
        <f t="array" aca="1" ref="H272" ca="1">SUMIFS(CA!$C273:$AQ273,CA!$C$7:$AQ$7,H$6,CA!$C$8:$AQ$8,TRUE)</f>
        <v>0</v>
      </c>
      <c r="I272" s="23" cm="1">
        <f t="array" aca="1" ref="I272" ca="1">SUMIFS(Quantity!$C273:$AH273,Quantity!$C$7:$AH$7,J$6,Quantity!$C$8:$AH$8,TRUE)</f>
        <v>0</v>
      </c>
      <c r="J272" s="25" cm="1">
        <f t="array" aca="1" ref="J272" ca="1">SUMIFS(CA!$C273:$AQ273,CA!$C$7:$AQ$7,J$6,CA!$C$8:$AQ$8,TRUE)</f>
        <v>0</v>
      </c>
      <c r="K272" s="26" t="str" cm="1">
        <f t="array" ref="K272">IF(SUM(Quantity!O273:Z273)=0,"",SUM(Quantity!O273:Z273))</f>
        <v/>
      </c>
      <c r="L272" s="24" t="str" cm="1">
        <f t="array" ref="L272">IF(SUM(CA!O273:Z273)=0,"",SUM(CA!O273:Z273))</f>
        <v/>
      </c>
      <c r="M272" s="23" t="str" cm="1">
        <f t="array" ref="M272">IF(SUM(Quantity!C273:N273)=0,"",SUM(Quantity!C273:N273))</f>
        <v/>
      </c>
      <c r="N272" s="25" t="str" cm="1">
        <f t="array" ref="N272">IF(SUM(CA!C273:N273)=0,"",SUM(CA!C273:N273))</f>
        <v/>
      </c>
    </row>
    <row r="273" spans="1:14" x14ac:dyDescent="0.25">
      <c r="A273" s="1"/>
      <c r="B273" s="22" cm="1">
        <f t="array" ref="B273">Quantity!B274</f>
        <v>0</v>
      </c>
      <c r="C273" s="23" cm="1">
        <f t="array" ref="C273">Quantity!O274</f>
        <v>0</v>
      </c>
      <c r="D273" s="24" cm="1">
        <f t="array" ref="D273">CA!O274</f>
        <v>0</v>
      </c>
      <c r="E273" s="23" cm="1">
        <f t="array" ref="E273">Quantity!C274</f>
        <v>0</v>
      </c>
      <c r="F273" s="25" cm="1">
        <f t="array" ref="F273">CA!C274</f>
        <v>0</v>
      </c>
      <c r="G273" s="26" cm="1">
        <f t="array" aca="1" ref="G273" ca="1">SUMIFS(Quantity!$C274:$AH274,Quantity!$C$7:$AH$7,H$6,Quantity!$C$8:$AH$8,TRUE)</f>
        <v>0</v>
      </c>
      <c r="H273" s="24" cm="1">
        <f t="array" aca="1" ref="H273" ca="1">SUMIFS(CA!$C274:$AQ274,CA!$C$7:$AQ$7,H$6,CA!$C$8:$AQ$8,TRUE)</f>
        <v>0</v>
      </c>
      <c r="I273" s="23" cm="1">
        <f t="array" aca="1" ref="I273" ca="1">SUMIFS(Quantity!$C274:$AH274,Quantity!$C$7:$AH$7,J$6,Quantity!$C$8:$AH$8,TRUE)</f>
        <v>0</v>
      </c>
      <c r="J273" s="25" cm="1">
        <f t="array" aca="1" ref="J273" ca="1">SUMIFS(CA!$C274:$AQ274,CA!$C$7:$AQ$7,J$6,CA!$C$8:$AQ$8,TRUE)</f>
        <v>0</v>
      </c>
      <c r="K273" s="26" t="str" cm="1">
        <f t="array" ref="K273">IF(SUM(Quantity!O274:Z274)=0,"",SUM(Quantity!O274:Z274))</f>
        <v/>
      </c>
      <c r="L273" s="24" t="str" cm="1">
        <f t="array" ref="L273">IF(SUM(CA!O274:Z274)=0,"",SUM(CA!O274:Z274))</f>
        <v/>
      </c>
      <c r="M273" s="23" t="str" cm="1">
        <f t="array" ref="M273">IF(SUM(Quantity!C274:N274)=0,"",SUM(Quantity!C274:N274))</f>
        <v/>
      </c>
      <c r="N273" s="25" t="str" cm="1">
        <f t="array" ref="N273">IF(SUM(CA!C274:N274)=0,"",SUM(CA!C274:N274))</f>
        <v/>
      </c>
    </row>
    <row r="274" spans="1:14" x14ac:dyDescent="0.25">
      <c r="A274" s="1"/>
      <c r="B274" s="22" cm="1">
        <f t="array" ref="B274">Quantity!B275</f>
        <v>0</v>
      </c>
      <c r="C274" s="23" cm="1">
        <f t="array" ref="C274">Quantity!O275</f>
        <v>0</v>
      </c>
      <c r="D274" s="24" cm="1">
        <f t="array" ref="D274">CA!O275</f>
        <v>0</v>
      </c>
      <c r="E274" s="23" cm="1">
        <f t="array" ref="E274">Quantity!C275</f>
        <v>0</v>
      </c>
      <c r="F274" s="25" cm="1">
        <f t="array" ref="F274">CA!C275</f>
        <v>0</v>
      </c>
      <c r="G274" s="26" cm="1">
        <f t="array" aca="1" ref="G274" ca="1">SUMIFS(Quantity!$C275:$AH275,Quantity!$C$7:$AH$7,H$6,Quantity!$C$8:$AH$8,TRUE)</f>
        <v>0</v>
      </c>
      <c r="H274" s="24" cm="1">
        <f t="array" aca="1" ref="H274" ca="1">SUMIFS(CA!$C275:$AQ275,CA!$C$7:$AQ$7,H$6,CA!$C$8:$AQ$8,TRUE)</f>
        <v>0</v>
      </c>
      <c r="I274" s="23" cm="1">
        <f t="array" aca="1" ref="I274" ca="1">SUMIFS(Quantity!$C275:$AH275,Quantity!$C$7:$AH$7,J$6,Quantity!$C$8:$AH$8,TRUE)</f>
        <v>0</v>
      </c>
      <c r="J274" s="25" cm="1">
        <f t="array" aca="1" ref="J274" ca="1">SUMIFS(CA!$C275:$AQ275,CA!$C$7:$AQ$7,J$6,CA!$C$8:$AQ$8,TRUE)</f>
        <v>0</v>
      </c>
      <c r="K274" s="26" t="str" cm="1">
        <f t="array" ref="K274">IF(SUM(Quantity!O275:Z275)=0,"",SUM(Quantity!O275:Z275))</f>
        <v/>
      </c>
      <c r="L274" s="24" t="str" cm="1">
        <f t="array" ref="L274">IF(SUM(CA!O275:Z275)=0,"",SUM(CA!O275:Z275))</f>
        <v/>
      </c>
      <c r="M274" s="23" t="str" cm="1">
        <f t="array" ref="M274">IF(SUM(Quantity!C275:N275)=0,"",SUM(Quantity!C275:N275))</f>
        <v/>
      </c>
      <c r="N274" s="25" t="str" cm="1">
        <f t="array" ref="N274">IF(SUM(CA!C275:N275)=0,"",SUM(CA!C275:N275))</f>
        <v/>
      </c>
    </row>
    <row r="275" spans="1:14" x14ac:dyDescent="0.25">
      <c r="A275" s="1"/>
      <c r="B275" s="22" cm="1">
        <f t="array" ref="B275">Quantity!B276</f>
        <v>0</v>
      </c>
      <c r="C275" s="23" cm="1">
        <f t="array" ref="C275">Quantity!O276</f>
        <v>0</v>
      </c>
      <c r="D275" s="24" cm="1">
        <f t="array" ref="D275">CA!O276</f>
        <v>0</v>
      </c>
      <c r="E275" s="23" cm="1">
        <f t="array" ref="E275">Quantity!C276</f>
        <v>0</v>
      </c>
      <c r="F275" s="25" cm="1">
        <f t="array" ref="F275">CA!C276</f>
        <v>0</v>
      </c>
      <c r="G275" s="26" cm="1">
        <f t="array" aca="1" ref="G275" ca="1">SUMIFS(Quantity!$C276:$AH276,Quantity!$C$7:$AH$7,H$6,Quantity!$C$8:$AH$8,TRUE)</f>
        <v>0</v>
      </c>
      <c r="H275" s="24" cm="1">
        <f t="array" aca="1" ref="H275" ca="1">SUMIFS(CA!$C276:$AQ276,CA!$C$7:$AQ$7,H$6,CA!$C$8:$AQ$8,TRUE)</f>
        <v>0</v>
      </c>
      <c r="I275" s="23" cm="1">
        <f t="array" aca="1" ref="I275" ca="1">SUMIFS(Quantity!$C276:$AH276,Quantity!$C$7:$AH$7,J$6,Quantity!$C$8:$AH$8,TRUE)</f>
        <v>0</v>
      </c>
      <c r="J275" s="25" cm="1">
        <f t="array" aca="1" ref="J275" ca="1">SUMIFS(CA!$C276:$AQ276,CA!$C$7:$AQ$7,J$6,CA!$C$8:$AQ$8,TRUE)</f>
        <v>0</v>
      </c>
      <c r="K275" s="26" t="str" cm="1">
        <f t="array" ref="K275">IF(SUM(Quantity!O276:Z276)=0,"",SUM(Quantity!O276:Z276))</f>
        <v/>
      </c>
      <c r="L275" s="24" t="str" cm="1">
        <f t="array" ref="L275">IF(SUM(CA!O276:Z276)=0,"",SUM(CA!O276:Z276))</f>
        <v/>
      </c>
      <c r="M275" s="23" t="str" cm="1">
        <f t="array" ref="M275">IF(SUM(Quantity!C276:N276)=0,"",SUM(Quantity!C276:N276))</f>
        <v/>
      </c>
      <c r="N275" s="25" t="str" cm="1">
        <f t="array" ref="N275">IF(SUM(CA!C276:N276)=0,"",SUM(CA!C276:N276))</f>
        <v/>
      </c>
    </row>
    <row r="276" spans="1:14" x14ac:dyDescent="0.25">
      <c r="A276" s="1"/>
      <c r="B276" s="22" cm="1">
        <f t="array" ref="B276">Quantity!B277</f>
        <v>0</v>
      </c>
      <c r="C276" s="23" cm="1">
        <f t="array" ref="C276">Quantity!O277</f>
        <v>0</v>
      </c>
      <c r="D276" s="24" cm="1">
        <f t="array" ref="D276">CA!O277</f>
        <v>0</v>
      </c>
      <c r="E276" s="23" cm="1">
        <f t="array" ref="E276">Quantity!C277</f>
        <v>0</v>
      </c>
      <c r="F276" s="25" cm="1">
        <f t="array" ref="F276">CA!C277</f>
        <v>0</v>
      </c>
      <c r="G276" s="26" cm="1">
        <f t="array" aca="1" ref="G276" ca="1">SUMIFS(Quantity!$C277:$AH277,Quantity!$C$7:$AH$7,H$6,Quantity!$C$8:$AH$8,TRUE)</f>
        <v>0</v>
      </c>
      <c r="H276" s="24" cm="1">
        <f t="array" aca="1" ref="H276" ca="1">SUMIFS(CA!$C277:$AQ277,CA!$C$7:$AQ$7,H$6,CA!$C$8:$AQ$8,TRUE)</f>
        <v>0</v>
      </c>
      <c r="I276" s="23" cm="1">
        <f t="array" aca="1" ref="I276" ca="1">SUMIFS(Quantity!$C277:$AH277,Quantity!$C$7:$AH$7,J$6,Quantity!$C$8:$AH$8,TRUE)</f>
        <v>0</v>
      </c>
      <c r="J276" s="25" cm="1">
        <f t="array" aca="1" ref="J276" ca="1">SUMIFS(CA!$C277:$AQ277,CA!$C$7:$AQ$7,J$6,CA!$C$8:$AQ$8,TRUE)</f>
        <v>0</v>
      </c>
      <c r="K276" s="26" t="str" cm="1">
        <f t="array" ref="K276">IF(SUM(Quantity!O277:Z277)=0,"",SUM(Quantity!O277:Z277))</f>
        <v/>
      </c>
      <c r="L276" s="24" t="str" cm="1">
        <f t="array" ref="L276">IF(SUM(CA!O277:Z277)=0,"",SUM(CA!O277:Z277))</f>
        <v/>
      </c>
      <c r="M276" s="23" t="str" cm="1">
        <f t="array" ref="M276">IF(SUM(Quantity!C277:N277)=0,"",SUM(Quantity!C277:N277))</f>
        <v/>
      </c>
      <c r="N276" s="25" t="str" cm="1">
        <f t="array" ref="N276">IF(SUM(CA!C277:N277)=0,"",SUM(CA!C277:N277))</f>
        <v/>
      </c>
    </row>
    <row r="277" spans="1:14" x14ac:dyDescent="0.25">
      <c r="A277" s="1"/>
      <c r="B277" s="22" cm="1">
        <f t="array" ref="B277">Quantity!B278</f>
        <v>0</v>
      </c>
      <c r="C277" s="23" cm="1">
        <f t="array" ref="C277">Quantity!O278</f>
        <v>0</v>
      </c>
      <c r="D277" s="24" cm="1">
        <f t="array" ref="D277">CA!O278</f>
        <v>0</v>
      </c>
      <c r="E277" s="23" cm="1">
        <f t="array" ref="E277">Quantity!C278</f>
        <v>0</v>
      </c>
      <c r="F277" s="25" cm="1">
        <f t="array" ref="F277">CA!C278</f>
        <v>0</v>
      </c>
      <c r="G277" s="26" cm="1">
        <f t="array" aca="1" ref="G277" ca="1">SUMIFS(Quantity!$C278:$AH278,Quantity!$C$7:$AH$7,H$6,Quantity!$C$8:$AH$8,TRUE)</f>
        <v>0</v>
      </c>
      <c r="H277" s="24" cm="1">
        <f t="array" aca="1" ref="H277" ca="1">SUMIFS(CA!$C278:$AQ278,CA!$C$7:$AQ$7,H$6,CA!$C$8:$AQ$8,TRUE)</f>
        <v>0</v>
      </c>
      <c r="I277" s="23" cm="1">
        <f t="array" aca="1" ref="I277" ca="1">SUMIFS(Quantity!$C278:$AH278,Quantity!$C$7:$AH$7,J$6,Quantity!$C$8:$AH$8,TRUE)</f>
        <v>0</v>
      </c>
      <c r="J277" s="25" cm="1">
        <f t="array" aca="1" ref="J277" ca="1">SUMIFS(CA!$C278:$AQ278,CA!$C$7:$AQ$7,J$6,CA!$C$8:$AQ$8,TRUE)</f>
        <v>0</v>
      </c>
      <c r="K277" s="26" t="str" cm="1">
        <f t="array" ref="K277">IF(SUM(Quantity!O278:Z278)=0,"",SUM(Quantity!O278:Z278))</f>
        <v/>
      </c>
      <c r="L277" s="24" t="str" cm="1">
        <f t="array" ref="L277">IF(SUM(CA!O278:Z278)=0,"",SUM(CA!O278:Z278))</f>
        <v/>
      </c>
      <c r="M277" s="23" t="str" cm="1">
        <f t="array" ref="M277">IF(SUM(Quantity!C278:N278)=0,"",SUM(Quantity!C278:N278))</f>
        <v/>
      </c>
      <c r="N277" s="25" t="str" cm="1">
        <f t="array" ref="N277">IF(SUM(CA!C278:N278)=0,"",SUM(CA!C278:N278))</f>
        <v/>
      </c>
    </row>
    <row r="278" spans="1:14" x14ac:dyDescent="0.25">
      <c r="A278" s="1"/>
      <c r="B278" s="22" cm="1">
        <f t="array" ref="B278">Quantity!B279</f>
        <v>0</v>
      </c>
      <c r="C278" s="23" cm="1">
        <f t="array" ref="C278">Quantity!O279</f>
        <v>0</v>
      </c>
      <c r="D278" s="24" cm="1">
        <f t="array" ref="D278">CA!O279</f>
        <v>0</v>
      </c>
      <c r="E278" s="23" cm="1">
        <f t="array" ref="E278">Quantity!C279</f>
        <v>0</v>
      </c>
      <c r="F278" s="25" cm="1">
        <f t="array" ref="F278">CA!C279</f>
        <v>0</v>
      </c>
      <c r="G278" s="26" cm="1">
        <f t="array" aca="1" ref="G278" ca="1">SUMIFS(Quantity!$C279:$AH279,Quantity!$C$7:$AH$7,H$6,Quantity!$C$8:$AH$8,TRUE)</f>
        <v>0</v>
      </c>
      <c r="H278" s="24" cm="1">
        <f t="array" aca="1" ref="H278" ca="1">SUMIFS(CA!$C279:$AQ279,CA!$C$7:$AQ$7,H$6,CA!$C$8:$AQ$8,TRUE)</f>
        <v>0</v>
      </c>
      <c r="I278" s="23" cm="1">
        <f t="array" aca="1" ref="I278" ca="1">SUMIFS(Quantity!$C279:$AH279,Quantity!$C$7:$AH$7,J$6,Quantity!$C$8:$AH$8,TRUE)</f>
        <v>0</v>
      </c>
      <c r="J278" s="25" cm="1">
        <f t="array" aca="1" ref="J278" ca="1">SUMIFS(CA!$C279:$AQ279,CA!$C$7:$AQ$7,J$6,CA!$C$8:$AQ$8,TRUE)</f>
        <v>0</v>
      </c>
      <c r="K278" s="26" t="str" cm="1">
        <f t="array" ref="K278">IF(SUM(Quantity!O279:Z279)=0,"",SUM(Quantity!O279:Z279))</f>
        <v/>
      </c>
      <c r="L278" s="24" t="str" cm="1">
        <f t="array" ref="L278">IF(SUM(CA!O279:Z279)=0,"",SUM(CA!O279:Z279))</f>
        <v/>
      </c>
      <c r="M278" s="23" t="str" cm="1">
        <f t="array" ref="M278">IF(SUM(Quantity!C279:N279)=0,"",SUM(Quantity!C279:N279))</f>
        <v/>
      </c>
      <c r="N278" s="25" t="str" cm="1">
        <f t="array" ref="N278">IF(SUM(CA!C279:N279)=0,"",SUM(CA!C279:N279))</f>
        <v/>
      </c>
    </row>
    <row r="279" spans="1:14" x14ac:dyDescent="0.25">
      <c r="A279" s="1"/>
      <c r="B279" s="22" cm="1">
        <f t="array" ref="B279">Quantity!B280</f>
        <v>0</v>
      </c>
      <c r="C279" s="23" cm="1">
        <f t="array" ref="C279">Quantity!O280</f>
        <v>0</v>
      </c>
      <c r="D279" s="24" cm="1">
        <f t="array" ref="D279">CA!O280</f>
        <v>0</v>
      </c>
      <c r="E279" s="23" cm="1">
        <f t="array" ref="E279">Quantity!C280</f>
        <v>0</v>
      </c>
      <c r="F279" s="25" cm="1">
        <f t="array" ref="F279">CA!C280</f>
        <v>0</v>
      </c>
      <c r="G279" s="26" cm="1">
        <f t="array" aca="1" ref="G279" ca="1">SUMIFS(Quantity!$C280:$AH280,Quantity!$C$7:$AH$7,H$6,Quantity!$C$8:$AH$8,TRUE)</f>
        <v>0</v>
      </c>
      <c r="H279" s="24" cm="1">
        <f t="array" aca="1" ref="H279" ca="1">SUMIFS(CA!$C280:$AQ280,CA!$C$7:$AQ$7,H$6,CA!$C$8:$AQ$8,TRUE)</f>
        <v>0</v>
      </c>
      <c r="I279" s="23" cm="1">
        <f t="array" aca="1" ref="I279" ca="1">SUMIFS(Quantity!$C280:$AH280,Quantity!$C$7:$AH$7,J$6,Quantity!$C$8:$AH$8,TRUE)</f>
        <v>0</v>
      </c>
      <c r="J279" s="25" cm="1">
        <f t="array" aca="1" ref="J279" ca="1">SUMIFS(CA!$C280:$AQ280,CA!$C$7:$AQ$7,J$6,CA!$C$8:$AQ$8,TRUE)</f>
        <v>0</v>
      </c>
      <c r="K279" s="26" t="str" cm="1">
        <f t="array" ref="K279">IF(SUM(Quantity!O280:Z280)=0,"",SUM(Quantity!O280:Z280))</f>
        <v/>
      </c>
      <c r="L279" s="24" t="str" cm="1">
        <f t="array" ref="L279">IF(SUM(CA!O280:Z280)=0,"",SUM(CA!O280:Z280))</f>
        <v/>
      </c>
      <c r="M279" s="23" t="str" cm="1">
        <f t="array" ref="M279">IF(SUM(Quantity!C280:N280)=0,"",SUM(Quantity!C280:N280))</f>
        <v/>
      </c>
      <c r="N279" s="25" t="str" cm="1">
        <f t="array" ref="N279">IF(SUM(CA!C280:N280)=0,"",SUM(CA!C280:N280))</f>
        <v/>
      </c>
    </row>
    <row r="280" spans="1:14" x14ac:dyDescent="0.25">
      <c r="A280" s="1"/>
      <c r="B280" s="22" cm="1">
        <f t="array" ref="B280">Quantity!B281</f>
        <v>0</v>
      </c>
      <c r="C280" s="23" cm="1">
        <f t="array" ref="C280">Quantity!O281</f>
        <v>0</v>
      </c>
      <c r="D280" s="24" cm="1">
        <f t="array" ref="D280">CA!O281</f>
        <v>0</v>
      </c>
      <c r="E280" s="23" cm="1">
        <f t="array" ref="E280">Quantity!C281</f>
        <v>0</v>
      </c>
      <c r="F280" s="25" cm="1">
        <f t="array" ref="F280">CA!C281</f>
        <v>0</v>
      </c>
      <c r="G280" s="26" cm="1">
        <f t="array" aca="1" ref="G280" ca="1">SUMIFS(Quantity!$C281:$AH281,Quantity!$C$7:$AH$7,H$6,Quantity!$C$8:$AH$8,TRUE)</f>
        <v>0</v>
      </c>
      <c r="H280" s="24" cm="1">
        <f t="array" aca="1" ref="H280" ca="1">SUMIFS(CA!$C281:$AQ281,CA!$C$7:$AQ$7,H$6,CA!$C$8:$AQ$8,TRUE)</f>
        <v>0</v>
      </c>
      <c r="I280" s="23" cm="1">
        <f t="array" aca="1" ref="I280" ca="1">SUMIFS(Quantity!$C281:$AH281,Quantity!$C$7:$AH$7,J$6,Quantity!$C$8:$AH$8,TRUE)</f>
        <v>0</v>
      </c>
      <c r="J280" s="25" cm="1">
        <f t="array" aca="1" ref="J280" ca="1">SUMIFS(CA!$C281:$AQ281,CA!$C$7:$AQ$7,J$6,CA!$C$8:$AQ$8,TRUE)</f>
        <v>0</v>
      </c>
      <c r="K280" s="26" t="str" cm="1">
        <f t="array" ref="K280">IF(SUM(Quantity!O281:Z281)=0,"",SUM(Quantity!O281:Z281))</f>
        <v/>
      </c>
      <c r="L280" s="24" t="str" cm="1">
        <f t="array" ref="L280">IF(SUM(CA!O281:Z281)=0,"",SUM(CA!O281:Z281))</f>
        <v/>
      </c>
      <c r="M280" s="23" t="str" cm="1">
        <f t="array" ref="M280">IF(SUM(Quantity!C281:N281)=0,"",SUM(Quantity!C281:N281))</f>
        <v/>
      </c>
      <c r="N280" s="25" t="str" cm="1">
        <f t="array" ref="N280">IF(SUM(CA!C281:N281)=0,"",SUM(CA!C281:N281))</f>
        <v/>
      </c>
    </row>
    <row r="281" spans="1:14" x14ac:dyDescent="0.25">
      <c r="A281" s="1"/>
      <c r="B281" s="22" cm="1">
        <f t="array" ref="B281">Quantity!B282</f>
        <v>0</v>
      </c>
      <c r="C281" s="23" cm="1">
        <f t="array" ref="C281">Quantity!O282</f>
        <v>0</v>
      </c>
      <c r="D281" s="24" cm="1">
        <f t="array" ref="D281">CA!O282</f>
        <v>0</v>
      </c>
      <c r="E281" s="23" cm="1">
        <f t="array" ref="E281">Quantity!C282</f>
        <v>0</v>
      </c>
      <c r="F281" s="25" cm="1">
        <f t="array" ref="F281">CA!C282</f>
        <v>0</v>
      </c>
      <c r="G281" s="26" cm="1">
        <f t="array" aca="1" ref="G281" ca="1">SUMIFS(Quantity!$C282:$AH282,Quantity!$C$7:$AH$7,H$6,Quantity!$C$8:$AH$8,TRUE)</f>
        <v>0</v>
      </c>
      <c r="H281" s="24" cm="1">
        <f t="array" aca="1" ref="H281" ca="1">SUMIFS(CA!$C282:$AQ282,CA!$C$7:$AQ$7,H$6,CA!$C$8:$AQ$8,TRUE)</f>
        <v>0</v>
      </c>
      <c r="I281" s="23" cm="1">
        <f t="array" aca="1" ref="I281" ca="1">SUMIFS(Quantity!$C282:$AH282,Quantity!$C$7:$AH$7,J$6,Quantity!$C$8:$AH$8,TRUE)</f>
        <v>0</v>
      </c>
      <c r="J281" s="25" cm="1">
        <f t="array" aca="1" ref="J281" ca="1">SUMIFS(CA!$C282:$AQ282,CA!$C$7:$AQ$7,J$6,CA!$C$8:$AQ$8,TRUE)</f>
        <v>0</v>
      </c>
      <c r="K281" s="26" t="str" cm="1">
        <f t="array" ref="K281">IF(SUM(Quantity!O282:Z282)=0,"",SUM(Quantity!O282:Z282))</f>
        <v/>
      </c>
      <c r="L281" s="24" t="str" cm="1">
        <f t="array" ref="L281">IF(SUM(CA!O282:Z282)=0,"",SUM(CA!O282:Z282))</f>
        <v/>
      </c>
      <c r="M281" s="23" t="str" cm="1">
        <f t="array" ref="M281">IF(SUM(Quantity!C282:N282)=0,"",SUM(Quantity!C282:N282))</f>
        <v/>
      </c>
      <c r="N281" s="25" t="str" cm="1">
        <f t="array" ref="N281">IF(SUM(CA!C282:N282)=0,"",SUM(CA!C282:N282))</f>
        <v/>
      </c>
    </row>
    <row r="282" spans="1:14" x14ac:dyDescent="0.25">
      <c r="A282" s="1"/>
      <c r="B282" s="22" cm="1">
        <f t="array" ref="B282">Quantity!B283</f>
        <v>0</v>
      </c>
      <c r="C282" s="23" cm="1">
        <f t="array" ref="C282">Quantity!O283</f>
        <v>0</v>
      </c>
      <c r="D282" s="24" cm="1">
        <f t="array" ref="D282">CA!O283</f>
        <v>0</v>
      </c>
      <c r="E282" s="23" cm="1">
        <f t="array" ref="E282">Quantity!C283</f>
        <v>0</v>
      </c>
      <c r="F282" s="25" cm="1">
        <f t="array" ref="F282">CA!C283</f>
        <v>0</v>
      </c>
      <c r="G282" s="26" cm="1">
        <f t="array" aca="1" ref="G282" ca="1">SUMIFS(Quantity!$C283:$AH283,Quantity!$C$7:$AH$7,H$6,Quantity!$C$8:$AH$8,TRUE)</f>
        <v>0</v>
      </c>
      <c r="H282" s="24" cm="1">
        <f t="array" aca="1" ref="H282" ca="1">SUMIFS(CA!$C283:$AQ283,CA!$C$7:$AQ$7,H$6,CA!$C$8:$AQ$8,TRUE)</f>
        <v>0</v>
      </c>
      <c r="I282" s="23" cm="1">
        <f t="array" aca="1" ref="I282" ca="1">SUMIFS(Quantity!$C283:$AH283,Quantity!$C$7:$AH$7,J$6,Quantity!$C$8:$AH$8,TRUE)</f>
        <v>0</v>
      </c>
      <c r="J282" s="25" cm="1">
        <f t="array" aca="1" ref="J282" ca="1">SUMIFS(CA!$C283:$AQ283,CA!$C$7:$AQ$7,J$6,CA!$C$8:$AQ$8,TRUE)</f>
        <v>0</v>
      </c>
      <c r="K282" s="26" t="str" cm="1">
        <f t="array" ref="K282">IF(SUM(Quantity!O283:Z283)=0,"",SUM(Quantity!O283:Z283))</f>
        <v/>
      </c>
      <c r="L282" s="24" t="str" cm="1">
        <f t="array" ref="L282">IF(SUM(CA!O283:Z283)=0,"",SUM(CA!O283:Z283))</f>
        <v/>
      </c>
      <c r="M282" s="23" t="str" cm="1">
        <f t="array" ref="M282">IF(SUM(Quantity!C283:N283)=0,"",SUM(Quantity!C283:N283))</f>
        <v/>
      </c>
      <c r="N282" s="25" t="str" cm="1">
        <f t="array" ref="N282">IF(SUM(CA!C283:N283)=0,"",SUM(CA!C283:N283))</f>
        <v/>
      </c>
    </row>
    <row r="283" spans="1:14" x14ac:dyDescent="0.25">
      <c r="A283" s="1"/>
      <c r="B283" s="22" cm="1">
        <f t="array" ref="B283">Quantity!B284</f>
        <v>0</v>
      </c>
      <c r="C283" s="23" cm="1">
        <f t="array" ref="C283">Quantity!O284</f>
        <v>0</v>
      </c>
      <c r="D283" s="24" cm="1">
        <f t="array" ref="D283">CA!O284</f>
        <v>0</v>
      </c>
      <c r="E283" s="23" cm="1">
        <f t="array" ref="E283">Quantity!C284</f>
        <v>0</v>
      </c>
      <c r="F283" s="25" cm="1">
        <f t="array" ref="F283">CA!C284</f>
        <v>0</v>
      </c>
      <c r="G283" s="26" cm="1">
        <f t="array" aca="1" ref="G283" ca="1">SUMIFS(Quantity!$C284:$AH284,Quantity!$C$7:$AH$7,H$6,Quantity!$C$8:$AH$8,TRUE)</f>
        <v>0</v>
      </c>
      <c r="H283" s="24" cm="1">
        <f t="array" aca="1" ref="H283" ca="1">SUMIFS(CA!$C284:$AQ284,CA!$C$7:$AQ$7,H$6,CA!$C$8:$AQ$8,TRUE)</f>
        <v>0</v>
      </c>
      <c r="I283" s="23" cm="1">
        <f t="array" aca="1" ref="I283" ca="1">SUMIFS(Quantity!$C284:$AH284,Quantity!$C$7:$AH$7,J$6,Quantity!$C$8:$AH$8,TRUE)</f>
        <v>0</v>
      </c>
      <c r="J283" s="25" cm="1">
        <f t="array" aca="1" ref="J283" ca="1">SUMIFS(CA!$C284:$AQ284,CA!$C$7:$AQ$7,J$6,CA!$C$8:$AQ$8,TRUE)</f>
        <v>0</v>
      </c>
      <c r="K283" s="26" t="str" cm="1">
        <f t="array" ref="K283">IF(SUM(Quantity!O284:Z284)=0,"",SUM(Quantity!O284:Z284))</f>
        <v/>
      </c>
      <c r="L283" s="24" t="str" cm="1">
        <f t="array" ref="L283">IF(SUM(CA!O284:Z284)=0,"",SUM(CA!O284:Z284))</f>
        <v/>
      </c>
      <c r="M283" s="23" t="str" cm="1">
        <f t="array" ref="M283">IF(SUM(Quantity!C284:N284)=0,"",SUM(Quantity!C284:N284))</f>
        <v/>
      </c>
      <c r="N283" s="25" t="str" cm="1">
        <f t="array" ref="N283">IF(SUM(CA!C284:N284)=0,"",SUM(CA!C284:N284))</f>
        <v/>
      </c>
    </row>
    <row r="284" spans="1:14" x14ac:dyDescent="0.25">
      <c r="A284" s="1"/>
      <c r="B284" s="22" cm="1">
        <f t="array" ref="B284">Quantity!B285</f>
        <v>0</v>
      </c>
      <c r="C284" s="23" cm="1">
        <f t="array" ref="C284">Quantity!O285</f>
        <v>0</v>
      </c>
      <c r="D284" s="24" cm="1">
        <f t="array" ref="D284">CA!O285</f>
        <v>0</v>
      </c>
      <c r="E284" s="23" cm="1">
        <f t="array" ref="E284">Quantity!C285</f>
        <v>0</v>
      </c>
      <c r="F284" s="25" cm="1">
        <f t="array" ref="F284">CA!C285</f>
        <v>0</v>
      </c>
      <c r="G284" s="26" cm="1">
        <f t="array" aca="1" ref="G284" ca="1">SUMIFS(Quantity!$C285:$AH285,Quantity!$C$7:$AH$7,H$6,Quantity!$C$8:$AH$8,TRUE)</f>
        <v>0</v>
      </c>
      <c r="H284" s="24" cm="1">
        <f t="array" aca="1" ref="H284" ca="1">SUMIFS(CA!$C285:$AQ285,CA!$C$7:$AQ$7,H$6,CA!$C$8:$AQ$8,TRUE)</f>
        <v>0</v>
      </c>
      <c r="I284" s="23" cm="1">
        <f t="array" aca="1" ref="I284" ca="1">SUMIFS(Quantity!$C285:$AH285,Quantity!$C$7:$AH$7,J$6,Quantity!$C$8:$AH$8,TRUE)</f>
        <v>0</v>
      </c>
      <c r="J284" s="25" cm="1">
        <f t="array" aca="1" ref="J284" ca="1">SUMIFS(CA!$C285:$AQ285,CA!$C$7:$AQ$7,J$6,CA!$C$8:$AQ$8,TRUE)</f>
        <v>0</v>
      </c>
      <c r="K284" s="26" t="str" cm="1">
        <f t="array" ref="K284">IF(SUM(Quantity!O285:Z285)=0,"",SUM(Quantity!O285:Z285))</f>
        <v/>
      </c>
      <c r="L284" s="24" t="str" cm="1">
        <f t="array" ref="L284">IF(SUM(CA!O285:Z285)=0,"",SUM(CA!O285:Z285))</f>
        <v/>
      </c>
      <c r="M284" s="23" t="str" cm="1">
        <f t="array" ref="M284">IF(SUM(Quantity!C285:N285)=0,"",SUM(Quantity!C285:N285))</f>
        <v/>
      </c>
      <c r="N284" s="25" t="str" cm="1">
        <f t="array" ref="N284">IF(SUM(CA!C285:N285)=0,"",SUM(CA!C285:N285))</f>
        <v/>
      </c>
    </row>
    <row r="285" spans="1:14" x14ac:dyDescent="0.25">
      <c r="A285" s="1"/>
      <c r="B285" s="22" cm="1">
        <f t="array" ref="B285">Quantity!B286</f>
        <v>0</v>
      </c>
      <c r="C285" s="23" cm="1">
        <f t="array" ref="C285">Quantity!O286</f>
        <v>0</v>
      </c>
      <c r="D285" s="24" cm="1">
        <f t="array" ref="D285">CA!O286</f>
        <v>0</v>
      </c>
      <c r="E285" s="23" cm="1">
        <f t="array" ref="E285">Quantity!C286</f>
        <v>0</v>
      </c>
      <c r="F285" s="25" cm="1">
        <f t="array" ref="F285">CA!C286</f>
        <v>0</v>
      </c>
      <c r="G285" s="26" cm="1">
        <f t="array" aca="1" ref="G285" ca="1">SUMIFS(Quantity!$C286:$AH286,Quantity!$C$7:$AH$7,H$6,Quantity!$C$8:$AH$8,TRUE)</f>
        <v>0</v>
      </c>
      <c r="H285" s="24" cm="1">
        <f t="array" aca="1" ref="H285" ca="1">SUMIFS(CA!$C286:$AQ286,CA!$C$7:$AQ$7,H$6,CA!$C$8:$AQ$8,TRUE)</f>
        <v>0</v>
      </c>
      <c r="I285" s="23" cm="1">
        <f t="array" aca="1" ref="I285" ca="1">SUMIFS(Quantity!$C286:$AH286,Quantity!$C$7:$AH$7,J$6,Quantity!$C$8:$AH$8,TRUE)</f>
        <v>0</v>
      </c>
      <c r="J285" s="25" cm="1">
        <f t="array" aca="1" ref="J285" ca="1">SUMIFS(CA!$C286:$AQ286,CA!$C$7:$AQ$7,J$6,CA!$C$8:$AQ$8,TRUE)</f>
        <v>0</v>
      </c>
      <c r="K285" s="26" t="str" cm="1">
        <f t="array" ref="K285">IF(SUM(Quantity!O286:Z286)=0,"",SUM(Quantity!O286:Z286))</f>
        <v/>
      </c>
      <c r="L285" s="24" t="str" cm="1">
        <f t="array" ref="L285">IF(SUM(CA!O286:Z286)=0,"",SUM(CA!O286:Z286))</f>
        <v/>
      </c>
      <c r="M285" s="23" t="str" cm="1">
        <f t="array" ref="M285">IF(SUM(Quantity!C286:N286)=0,"",SUM(Quantity!C286:N286))</f>
        <v/>
      </c>
      <c r="N285" s="25" t="str" cm="1">
        <f t="array" ref="N285">IF(SUM(CA!C286:N286)=0,"",SUM(CA!C286:N286))</f>
        <v/>
      </c>
    </row>
    <row r="286" spans="1:14" x14ac:dyDescent="0.25">
      <c r="A286" s="1"/>
      <c r="B286" s="22" cm="1">
        <f t="array" ref="B286">Quantity!B287</f>
        <v>0</v>
      </c>
      <c r="C286" s="23" cm="1">
        <f t="array" ref="C286">Quantity!O287</f>
        <v>0</v>
      </c>
      <c r="D286" s="24" cm="1">
        <f t="array" ref="D286">CA!O287</f>
        <v>0</v>
      </c>
      <c r="E286" s="23" cm="1">
        <f t="array" ref="E286">Quantity!C287</f>
        <v>0</v>
      </c>
      <c r="F286" s="25" cm="1">
        <f t="array" ref="F286">CA!C287</f>
        <v>0</v>
      </c>
      <c r="G286" s="26" cm="1">
        <f t="array" aca="1" ref="G286" ca="1">SUMIFS(Quantity!$C287:$AH287,Quantity!$C$7:$AH$7,H$6,Quantity!$C$8:$AH$8,TRUE)</f>
        <v>0</v>
      </c>
      <c r="H286" s="24" cm="1">
        <f t="array" aca="1" ref="H286" ca="1">SUMIFS(CA!$C287:$AQ287,CA!$C$7:$AQ$7,H$6,CA!$C$8:$AQ$8,TRUE)</f>
        <v>0</v>
      </c>
      <c r="I286" s="23" cm="1">
        <f t="array" aca="1" ref="I286" ca="1">SUMIFS(Quantity!$C287:$AH287,Quantity!$C$7:$AH$7,J$6,Quantity!$C$8:$AH$8,TRUE)</f>
        <v>0</v>
      </c>
      <c r="J286" s="25" cm="1">
        <f t="array" aca="1" ref="J286" ca="1">SUMIFS(CA!$C287:$AQ287,CA!$C$7:$AQ$7,J$6,CA!$C$8:$AQ$8,TRUE)</f>
        <v>0</v>
      </c>
      <c r="K286" s="26" t="str" cm="1">
        <f t="array" ref="K286">IF(SUM(Quantity!O287:Z287)=0,"",SUM(Quantity!O287:Z287))</f>
        <v/>
      </c>
      <c r="L286" s="24" t="str" cm="1">
        <f t="array" ref="L286">IF(SUM(CA!O287:Z287)=0,"",SUM(CA!O287:Z287))</f>
        <v/>
      </c>
      <c r="M286" s="23" t="str" cm="1">
        <f t="array" ref="M286">IF(SUM(Quantity!C287:N287)=0,"",SUM(Quantity!C287:N287))</f>
        <v/>
      </c>
      <c r="N286" s="25" t="str" cm="1">
        <f t="array" ref="N286">IF(SUM(CA!C287:N287)=0,"",SUM(CA!C287:N287))</f>
        <v/>
      </c>
    </row>
    <row r="287" spans="1:14" x14ac:dyDescent="0.25">
      <c r="A287" s="1"/>
      <c r="B287" s="22" cm="1">
        <f t="array" ref="B287">Quantity!B288</f>
        <v>0</v>
      </c>
      <c r="C287" s="23" cm="1">
        <f t="array" ref="C287">Quantity!O288</f>
        <v>0</v>
      </c>
      <c r="D287" s="24" cm="1">
        <f t="array" ref="D287">CA!O288</f>
        <v>0</v>
      </c>
      <c r="E287" s="23" cm="1">
        <f t="array" ref="E287">Quantity!C288</f>
        <v>0</v>
      </c>
      <c r="F287" s="25" cm="1">
        <f t="array" ref="F287">CA!C288</f>
        <v>0</v>
      </c>
      <c r="G287" s="26" cm="1">
        <f t="array" aca="1" ref="G287" ca="1">SUMIFS(Quantity!$C288:$AH288,Quantity!$C$7:$AH$7,H$6,Quantity!$C$8:$AH$8,TRUE)</f>
        <v>0</v>
      </c>
      <c r="H287" s="24" cm="1">
        <f t="array" aca="1" ref="H287" ca="1">SUMIFS(CA!$C288:$AQ288,CA!$C$7:$AQ$7,H$6,CA!$C$8:$AQ$8,TRUE)</f>
        <v>0</v>
      </c>
      <c r="I287" s="23" cm="1">
        <f t="array" aca="1" ref="I287" ca="1">SUMIFS(Quantity!$C288:$AH288,Quantity!$C$7:$AH$7,J$6,Quantity!$C$8:$AH$8,TRUE)</f>
        <v>0</v>
      </c>
      <c r="J287" s="25" cm="1">
        <f t="array" aca="1" ref="J287" ca="1">SUMIFS(CA!$C288:$AQ288,CA!$C$7:$AQ$7,J$6,CA!$C$8:$AQ$8,TRUE)</f>
        <v>0</v>
      </c>
      <c r="K287" s="26" t="str" cm="1">
        <f t="array" ref="K287">IF(SUM(Quantity!O288:Z288)=0,"",SUM(Quantity!O288:Z288))</f>
        <v/>
      </c>
      <c r="L287" s="24" t="str" cm="1">
        <f t="array" ref="L287">IF(SUM(CA!O288:Z288)=0,"",SUM(CA!O288:Z288))</f>
        <v/>
      </c>
      <c r="M287" s="23" t="str" cm="1">
        <f t="array" ref="M287">IF(SUM(Quantity!C288:N288)=0,"",SUM(Quantity!C288:N288))</f>
        <v/>
      </c>
      <c r="N287" s="25" t="str" cm="1">
        <f t="array" ref="N287">IF(SUM(CA!C288:N288)=0,"",SUM(CA!C288:N288))</f>
        <v/>
      </c>
    </row>
    <row r="288" spans="1:14" x14ac:dyDescent="0.25">
      <c r="A288" s="1"/>
      <c r="B288" s="22" cm="1">
        <f t="array" ref="B288">Quantity!B289</f>
        <v>0</v>
      </c>
      <c r="C288" s="23" cm="1">
        <f t="array" ref="C288">Quantity!O289</f>
        <v>0</v>
      </c>
      <c r="D288" s="24" cm="1">
        <f t="array" ref="D288">CA!O289</f>
        <v>0</v>
      </c>
      <c r="E288" s="23" cm="1">
        <f t="array" ref="E288">Quantity!C289</f>
        <v>0</v>
      </c>
      <c r="F288" s="25" cm="1">
        <f t="array" ref="F288">CA!C289</f>
        <v>0</v>
      </c>
      <c r="G288" s="26" cm="1">
        <f t="array" aca="1" ref="G288" ca="1">SUMIFS(Quantity!$C289:$AH289,Quantity!$C$7:$AH$7,H$6,Quantity!$C$8:$AH$8,TRUE)</f>
        <v>0</v>
      </c>
      <c r="H288" s="24" cm="1">
        <f t="array" aca="1" ref="H288" ca="1">SUMIFS(CA!$C289:$AQ289,CA!$C$7:$AQ$7,H$6,CA!$C$8:$AQ$8,TRUE)</f>
        <v>0</v>
      </c>
      <c r="I288" s="23" cm="1">
        <f t="array" aca="1" ref="I288" ca="1">SUMIFS(Quantity!$C289:$AH289,Quantity!$C$7:$AH$7,J$6,Quantity!$C$8:$AH$8,TRUE)</f>
        <v>0</v>
      </c>
      <c r="J288" s="25" cm="1">
        <f t="array" aca="1" ref="J288" ca="1">SUMIFS(CA!$C289:$AQ289,CA!$C$7:$AQ$7,J$6,CA!$C$8:$AQ$8,TRUE)</f>
        <v>0</v>
      </c>
      <c r="K288" s="26" t="str" cm="1">
        <f t="array" ref="K288">IF(SUM(Quantity!O289:Z289)=0,"",SUM(Quantity!O289:Z289))</f>
        <v/>
      </c>
      <c r="L288" s="24" t="str" cm="1">
        <f t="array" ref="L288">IF(SUM(CA!O289:Z289)=0,"",SUM(CA!O289:Z289))</f>
        <v/>
      </c>
      <c r="M288" s="23" t="str" cm="1">
        <f t="array" ref="M288">IF(SUM(Quantity!C289:N289)=0,"",SUM(Quantity!C289:N289))</f>
        <v/>
      </c>
      <c r="N288" s="25" t="str" cm="1">
        <f t="array" ref="N288">IF(SUM(CA!C289:N289)=0,"",SUM(CA!C289:N289))</f>
        <v/>
      </c>
    </row>
    <row r="289" spans="1:14" x14ac:dyDescent="0.25">
      <c r="A289" s="1"/>
      <c r="B289" s="22" cm="1">
        <f t="array" ref="B289">Quantity!B290</f>
        <v>0</v>
      </c>
      <c r="C289" s="23" cm="1">
        <f t="array" ref="C289">Quantity!O290</f>
        <v>0</v>
      </c>
      <c r="D289" s="24" cm="1">
        <f t="array" ref="D289">CA!O290</f>
        <v>0</v>
      </c>
      <c r="E289" s="23" cm="1">
        <f t="array" ref="E289">Quantity!C290</f>
        <v>0</v>
      </c>
      <c r="F289" s="25" cm="1">
        <f t="array" ref="F289">CA!C290</f>
        <v>0</v>
      </c>
      <c r="G289" s="26" cm="1">
        <f t="array" aca="1" ref="G289" ca="1">SUMIFS(Quantity!$C290:$AH290,Quantity!$C$7:$AH$7,H$6,Quantity!$C$8:$AH$8,TRUE)</f>
        <v>0</v>
      </c>
      <c r="H289" s="24" cm="1">
        <f t="array" aca="1" ref="H289" ca="1">SUMIFS(CA!$C290:$AQ290,CA!$C$7:$AQ$7,H$6,CA!$C$8:$AQ$8,TRUE)</f>
        <v>0</v>
      </c>
      <c r="I289" s="23" cm="1">
        <f t="array" aca="1" ref="I289" ca="1">SUMIFS(Quantity!$C290:$AH290,Quantity!$C$7:$AH$7,J$6,Quantity!$C$8:$AH$8,TRUE)</f>
        <v>0</v>
      </c>
      <c r="J289" s="25" cm="1">
        <f t="array" aca="1" ref="J289" ca="1">SUMIFS(CA!$C290:$AQ290,CA!$C$7:$AQ$7,J$6,CA!$C$8:$AQ$8,TRUE)</f>
        <v>0</v>
      </c>
      <c r="K289" s="26" t="str" cm="1">
        <f t="array" ref="K289">IF(SUM(Quantity!O290:Z290)=0,"",SUM(Quantity!O290:Z290))</f>
        <v/>
      </c>
      <c r="L289" s="24" t="str" cm="1">
        <f t="array" ref="L289">IF(SUM(CA!O290:Z290)=0,"",SUM(CA!O290:Z290))</f>
        <v/>
      </c>
      <c r="M289" s="23" t="str" cm="1">
        <f t="array" ref="M289">IF(SUM(Quantity!C290:N290)=0,"",SUM(Quantity!C290:N290))</f>
        <v/>
      </c>
      <c r="N289" s="25" t="str" cm="1">
        <f t="array" ref="N289">IF(SUM(CA!C290:N290)=0,"",SUM(CA!C290:N290))</f>
        <v/>
      </c>
    </row>
    <row r="290" spans="1:14" x14ac:dyDescent="0.25">
      <c r="A290" s="1"/>
      <c r="B290" s="22" cm="1">
        <f t="array" ref="B290">Quantity!B291</f>
        <v>0</v>
      </c>
      <c r="C290" s="23" cm="1">
        <f t="array" ref="C290">Quantity!O291</f>
        <v>0</v>
      </c>
      <c r="D290" s="24" cm="1">
        <f t="array" ref="D290">CA!O291</f>
        <v>0</v>
      </c>
      <c r="E290" s="23" cm="1">
        <f t="array" ref="E290">Quantity!C291</f>
        <v>0</v>
      </c>
      <c r="F290" s="25" cm="1">
        <f t="array" ref="F290">CA!C291</f>
        <v>0</v>
      </c>
      <c r="G290" s="26" cm="1">
        <f t="array" aca="1" ref="G290" ca="1">SUMIFS(Quantity!$C291:$AH291,Quantity!$C$7:$AH$7,H$6,Quantity!$C$8:$AH$8,TRUE)</f>
        <v>0</v>
      </c>
      <c r="H290" s="24" cm="1">
        <f t="array" aca="1" ref="H290" ca="1">SUMIFS(CA!$C291:$AQ291,CA!$C$7:$AQ$7,H$6,CA!$C$8:$AQ$8,TRUE)</f>
        <v>0</v>
      </c>
      <c r="I290" s="23" cm="1">
        <f t="array" aca="1" ref="I290" ca="1">SUMIFS(Quantity!$C291:$AH291,Quantity!$C$7:$AH$7,J$6,Quantity!$C$8:$AH$8,TRUE)</f>
        <v>0</v>
      </c>
      <c r="J290" s="25" cm="1">
        <f t="array" aca="1" ref="J290" ca="1">SUMIFS(CA!$C291:$AQ291,CA!$C$7:$AQ$7,J$6,CA!$C$8:$AQ$8,TRUE)</f>
        <v>0</v>
      </c>
      <c r="K290" s="26" t="str" cm="1">
        <f t="array" ref="K290">IF(SUM(Quantity!O291:Z291)=0,"",SUM(Quantity!O291:Z291))</f>
        <v/>
      </c>
      <c r="L290" s="24" t="str" cm="1">
        <f t="array" ref="L290">IF(SUM(CA!O291:Z291)=0,"",SUM(CA!O291:Z291))</f>
        <v/>
      </c>
      <c r="M290" s="23" t="str" cm="1">
        <f t="array" ref="M290">IF(SUM(Quantity!C291:N291)=0,"",SUM(Quantity!C291:N291))</f>
        <v/>
      </c>
      <c r="N290" s="25" t="str" cm="1">
        <f t="array" ref="N290">IF(SUM(CA!C291:N291)=0,"",SUM(CA!C291:N291))</f>
        <v/>
      </c>
    </row>
    <row r="291" spans="1:14" x14ac:dyDescent="0.25">
      <c r="A291" s="1"/>
      <c r="B291" s="22" cm="1">
        <f t="array" ref="B291">Quantity!B292</f>
        <v>0</v>
      </c>
      <c r="C291" s="23" cm="1">
        <f t="array" ref="C291">Quantity!O292</f>
        <v>0</v>
      </c>
      <c r="D291" s="24" cm="1">
        <f t="array" ref="D291">CA!O292</f>
        <v>0</v>
      </c>
      <c r="E291" s="23" cm="1">
        <f t="array" ref="E291">Quantity!C292</f>
        <v>0</v>
      </c>
      <c r="F291" s="25" cm="1">
        <f t="array" ref="F291">CA!C292</f>
        <v>0</v>
      </c>
      <c r="G291" s="26" cm="1">
        <f t="array" aca="1" ref="G291" ca="1">SUMIFS(Quantity!$C292:$AH292,Quantity!$C$7:$AH$7,H$6,Quantity!$C$8:$AH$8,TRUE)</f>
        <v>0</v>
      </c>
      <c r="H291" s="24" cm="1">
        <f t="array" aca="1" ref="H291" ca="1">SUMIFS(CA!$C292:$AQ292,CA!$C$7:$AQ$7,H$6,CA!$C$8:$AQ$8,TRUE)</f>
        <v>0</v>
      </c>
      <c r="I291" s="23" cm="1">
        <f t="array" aca="1" ref="I291" ca="1">SUMIFS(Quantity!$C292:$AH292,Quantity!$C$7:$AH$7,J$6,Quantity!$C$8:$AH$8,TRUE)</f>
        <v>0</v>
      </c>
      <c r="J291" s="25" cm="1">
        <f t="array" aca="1" ref="J291" ca="1">SUMIFS(CA!$C292:$AQ292,CA!$C$7:$AQ$7,J$6,CA!$C$8:$AQ$8,TRUE)</f>
        <v>0</v>
      </c>
      <c r="K291" s="26" t="str" cm="1">
        <f t="array" ref="K291">IF(SUM(Quantity!O292:Z292)=0,"",SUM(Quantity!O292:Z292))</f>
        <v/>
      </c>
      <c r="L291" s="24" t="str" cm="1">
        <f t="array" ref="L291">IF(SUM(CA!O292:Z292)=0,"",SUM(CA!O292:Z292))</f>
        <v/>
      </c>
      <c r="M291" s="23" t="str" cm="1">
        <f t="array" ref="M291">IF(SUM(Quantity!C292:N292)=0,"",SUM(Quantity!C292:N292))</f>
        <v/>
      </c>
      <c r="N291" s="25" t="str" cm="1">
        <f t="array" ref="N291">IF(SUM(CA!C292:N292)=0,"",SUM(CA!C292:N292))</f>
        <v/>
      </c>
    </row>
    <row r="292" spans="1:14" x14ac:dyDescent="0.25">
      <c r="A292" s="1"/>
      <c r="B292" s="22" cm="1">
        <f t="array" ref="B292">Quantity!B293</f>
        <v>0</v>
      </c>
      <c r="C292" s="23" cm="1">
        <f t="array" ref="C292">Quantity!O293</f>
        <v>0</v>
      </c>
      <c r="D292" s="24" cm="1">
        <f t="array" ref="D292">CA!O293</f>
        <v>0</v>
      </c>
      <c r="E292" s="23" cm="1">
        <f t="array" ref="E292">Quantity!C293</f>
        <v>0</v>
      </c>
      <c r="F292" s="25" cm="1">
        <f t="array" ref="F292">CA!C293</f>
        <v>0</v>
      </c>
      <c r="G292" s="26" cm="1">
        <f t="array" aca="1" ref="G292" ca="1">SUMIFS(Quantity!$C293:$AH293,Quantity!$C$7:$AH$7,H$6,Quantity!$C$8:$AH$8,TRUE)</f>
        <v>0</v>
      </c>
      <c r="H292" s="24" cm="1">
        <f t="array" aca="1" ref="H292" ca="1">SUMIFS(CA!$C293:$AQ293,CA!$C$7:$AQ$7,H$6,CA!$C$8:$AQ$8,TRUE)</f>
        <v>0</v>
      </c>
      <c r="I292" s="23" cm="1">
        <f t="array" aca="1" ref="I292" ca="1">SUMIFS(Quantity!$C293:$AH293,Quantity!$C$7:$AH$7,J$6,Quantity!$C$8:$AH$8,TRUE)</f>
        <v>0</v>
      </c>
      <c r="J292" s="25" cm="1">
        <f t="array" aca="1" ref="J292" ca="1">SUMIFS(CA!$C293:$AQ293,CA!$C$7:$AQ$7,J$6,CA!$C$8:$AQ$8,TRUE)</f>
        <v>0</v>
      </c>
      <c r="K292" s="26" t="str" cm="1">
        <f t="array" ref="K292">IF(SUM(Quantity!O293:Z293)=0,"",SUM(Quantity!O293:Z293))</f>
        <v/>
      </c>
      <c r="L292" s="24" t="str" cm="1">
        <f t="array" ref="L292">IF(SUM(CA!O293:Z293)=0,"",SUM(CA!O293:Z293))</f>
        <v/>
      </c>
      <c r="M292" s="23" t="str" cm="1">
        <f t="array" ref="M292">IF(SUM(Quantity!C293:N293)=0,"",SUM(Quantity!C293:N293))</f>
        <v/>
      </c>
      <c r="N292" s="25" t="str" cm="1">
        <f t="array" ref="N292">IF(SUM(CA!C293:N293)=0,"",SUM(CA!C293:N293))</f>
        <v/>
      </c>
    </row>
    <row r="293" spans="1:14" x14ac:dyDescent="0.25">
      <c r="A293" s="1"/>
      <c r="B293" s="22" cm="1">
        <f t="array" ref="B293">Quantity!B294</f>
        <v>0</v>
      </c>
      <c r="C293" s="23" cm="1">
        <f t="array" ref="C293">Quantity!O294</f>
        <v>0</v>
      </c>
      <c r="D293" s="24" cm="1">
        <f t="array" ref="D293">CA!O294</f>
        <v>0</v>
      </c>
      <c r="E293" s="23" cm="1">
        <f t="array" ref="E293">Quantity!C294</f>
        <v>0</v>
      </c>
      <c r="F293" s="25" cm="1">
        <f t="array" ref="F293">CA!C294</f>
        <v>0</v>
      </c>
      <c r="G293" s="26" cm="1">
        <f t="array" aca="1" ref="G293" ca="1">SUMIFS(Quantity!$C294:$AH294,Quantity!$C$7:$AH$7,H$6,Quantity!$C$8:$AH$8,TRUE)</f>
        <v>0</v>
      </c>
      <c r="H293" s="24" cm="1">
        <f t="array" aca="1" ref="H293" ca="1">SUMIFS(CA!$C294:$AQ294,CA!$C$7:$AQ$7,H$6,CA!$C$8:$AQ$8,TRUE)</f>
        <v>0</v>
      </c>
      <c r="I293" s="23" cm="1">
        <f t="array" aca="1" ref="I293" ca="1">SUMIFS(Quantity!$C294:$AH294,Quantity!$C$7:$AH$7,J$6,Quantity!$C$8:$AH$8,TRUE)</f>
        <v>0</v>
      </c>
      <c r="J293" s="25" cm="1">
        <f t="array" aca="1" ref="J293" ca="1">SUMIFS(CA!$C294:$AQ294,CA!$C$7:$AQ$7,J$6,CA!$C$8:$AQ$8,TRUE)</f>
        <v>0</v>
      </c>
      <c r="K293" s="26" t="str" cm="1">
        <f t="array" ref="K293">IF(SUM(Quantity!O294:Z294)=0,"",SUM(Quantity!O294:Z294))</f>
        <v/>
      </c>
      <c r="L293" s="24" t="str" cm="1">
        <f t="array" ref="L293">IF(SUM(CA!O294:Z294)=0,"",SUM(CA!O294:Z294))</f>
        <v/>
      </c>
      <c r="M293" s="23" t="str" cm="1">
        <f t="array" ref="M293">IF(SUM(Quantity!C294:N294)=0,"",SUM(Quantity!C294:N294))</f>
        <v/>
      </c>
      <c r="N293" s="25" t="str" cm="1">
        <f t="array" ref="N293">IF(SUM(CA!C294:N294)=0,"",SUM(CA!C294:N294))</f>
        <v/>
      </c>
    </row>
    <row r="294" spans="1:14" x14ac:dyDescent="0.25">
      <c r="A294" s="1"/>
      <c r="B294" s="22" cm="1">
        <f t="array" ref="B294">Quantity!B295</f>
        <v>0</v>
      </c>
      <c r="C294" s="23" cm="1">
        <f t="array" ref="C294">Quantity!O295</f>
        <v>0</v>
      </c>
      <c r="D294" s="24" cm="1">
        <f t="array" ref="D294">CA!O295</f>
        <v>0</v>
      </c>
      <c r="E294" s="23" cm="1">
        <f t="array" ref="E294">Quantity!C295</f>
        <v>0</v>
      </c>
      <c r="F294" s="25" cm="1">
        <f t="array" ref="F294">CA!C295</f>
        <v>0</v>
      </c>
      <c r="G294" s="26" cm="1">
        <f t="array" aca="1" ref="G294" ca="1">SUMIFS(Quantity!$C295:$AH295,Quantity!$C$7:$AH$7,H$6,Quantity!$C$8:$AH$8,TRUE)</f>
        <v>0</v>
      </c>
      <c r="H294" s="24" cm="1">
        <f t="array" aca="1" ref="H294" ca="1">SUMIFS(CA!$C295:$AQ295,CA!$C$7:$AQ$7,H$6,CA!$C$8:$AQ$8,TRUE)</f>
        <v>0</v>
      </c>
      <c r="I294" s="23" cm="1">
        <f t="array" aca="1" ref="I294" ca="1">SUMIFS(Quantity!$C295:$AH295,Quantity!$C$7:$AH$7,J$6,Quantity!$C$8:$AH$8,TRUE)</f>
        <v>0</v>
      </c>
      <c r="J294" s="25" cm="1">
        <f t="array" aca="1" ref="J294" ca="1">SUMIFS(CA!$C295:$AQ295,CA!$C$7:$AQ$7,J$6,CA!$C$8:$AQ$8,TRUE)</f>
        <v>0</v>
      </c>
      <c r="K294" s="26" t="str" cm="1">
        <f t="array" ref="K294">IF(SUM(Quantity!O295:Z295)=0,"",SUM(Quantity!O295:Z295))</f>
        <v/>
      </c>
      <c r="L294" s="24" t="str" cm="1">
        <f t="array" ref="L294">IF(SUM(CA!O295:Z295)=0,"",SUM(CA!O295:Z295))</f>
        <v/>
      </c>
      <c r="M294" s="23" t="str" cm="1">
        <f t="array" ref="M294">IF(SUM(Quantity!C295:N295)=0,"",SUM(Quantity!C295:N295))</f>
        <v/>
      </c>
      <c r="N294" s="25" t="str" cm="1">
        <f t="array" ref="N294">IF(SUM(CA!C295:N295)=0,"",SUM(CA!C295:N295))</f>
        <v/>
      </c>
    </row>
    <row r="295" spans="1:14" x14ac:dyDescent="0.25">
      <c r="A295" s="1"/>
      <c r="B295" s="22" cm="1">
        <f t="array" ref="B295">Quantity!B296</f>
        <v>0</v>
      </c>
      <c r="C295" s="23" cm="1">
        <f t="array" ref="C295">Quantity!O296</f>
        <v>0</v>
      </c>
      <c r="D295" s="24" cm="1">
        <f t="array" ref="D295">CA!O296</f>
        <v>0</v>
      </c>
      <c r="E295" s="23" cm="1">
        <f t="array" ref="E295">Quantity!C296</f>
        <v>0</v>
      </c>
      <c r="F295" s="25" cm="1">
        <f t="array" ref="F295">CA!C296</f>
        <v>0</v>
      </c>
      <c r="G295" s="26" cm="1">
        <f t="array" aca="1" ref="G295" ca="1">SUMIFS(Quantity!$C296:$AH296,Quantity!$C$7:$AH$7,H$6,Quantity!$C$8:$AH$8,TRUE)</f>
        <v>0</v>
      </c>
      <c r="H295" s="24" cm="1">
        <f t="array" aca="1" ref="H295" ca="1">SUMIFS(CA!$C296:$AQ296,CA!$C$7:$AQ$7,H$6,CA!$C$8:$AQ$8,TRUE)</f>
        <v>0</v>
      </c>
      <c r="I295" s="23" cm="1">
        <f t="array" aca="1" ref="I295" ca="1">SUMIFS(Quantity!$C296:$AH296,Quantity!$C$7:$AH$7,J$6,Quantity!$C$8:$AH$8,TRUE)</f>
        <v>0</v>
      </c>
      <c r="J295" s="25" cm="1">
        <f t="array" aca="1" ref="J295" ca="1">SUMIFS(CA!$C296:$AQ296,CA!$C$7:$AQ$7,J$6,CA!$C$8:$AQ$8,TRUE)</f>
        <v>0</v>
      </c>
      <c r="K295" s="26" t="str" cm="1">
        <f t="array" ref="K295">IF(SUM(Quantity!O296:Z296)=0,"",SUM(Quantity!O296:Z296))</f>
        <v/>
      </c>
      <c r="L295" s="24" t="str" cm="1">
        <f t="array" ref="L295">IF(SUM(CA!O296:Z296)=0,"",SUM(CA!O296:Z296))</f>
        <v/>
      </c>
      <c r="M295" s="23" t="str" cm="1">
        <f t="array" ref="M295">IF(SUM(Quantity!C296:N296)=0,"",SUM(Quantity!C296:N296))</f>
        <v/>
      </c>
      <c r="N295" s="25" t="str" cm="1">
        <f t="array" ref="N295">IF(SUM(CA!C296:N296)=0,"",SUM(CA!C296:N296))</f>
        <v/>
      </c>
    </row>
    <row r="296" spans="1:14" x14ac:dyDescent="0.25">
      <c r="A296" s="1"/>
      <c r="B296" s="22" cm="1">
        <f t="array" ref="B296">Quantity!B297</f>
        <v>0</v>
      </c>
      <c r="C296" s="23" cm="1">
        <f t="array" ref="C296">Quantity!O297</f>
        <v>0</v>
      </c>
      <c r="D296" s="24" cm="1">
        <f t="array" ref="D296">CA!O297</f>
        <v>0</v>
      </c>
      <c r="E296" s="23" cm="1">
        <f t="array" ref="E296">Quantity!C297</f>
        <v>0</v>
      </c>
      <c r="F296" s="25" cm="1">
        <f t="array" ref="F296">CA!C297</f>
        <v>0</v>
      </c>
      <c r="G296" s="26" cm="1">
        <f t="array" aca="1" ref="G296" ca="1">SUMIFS(Quantity!$C297:$AH297,Quantity!$C$7:$AH$7,H$6,Quantity!$C$8:$AH$8,TRUE)</f>
        <v>0</v>
      </c>
      <c r="H296" s="24" cm="1">
        <f t="array" aca="1" ref="H296" ca="1">SUMIFS(CA!$C297:$AQ297,CA!$C$7:$AQ$7,H$6,CA!$C$8:$AQ$8,TRUE)</f>
        <v>0</v>
      </c>
      <c r="I296" s="23" cm="1">
        <f t="array" aca="1" ref="I296" ca="1">SUMIFS(Quantity!$C297:$AH297,Quantity!$C$7:$AH$7,J$6,Quantity!$C$8:$AH$8,TRUE)</f>
        <v>0</v>
      </c>
      <c r="J296" s="25" cm="1">
        <f t="array" aca="1" ref="J296" ca="1">SUMIFS(CA!$C297:$AQ297,CA!$C$7:$AQ$7,J$6,CA!$C$8:$AQ$8,TRUE)</f>
        <v>0</v>
      </c>
      <c r="K296" s="26" t="str" cm="1">
        <f t="array" ref="K296">IF(SUM(Quantity!O297:Z297)=0,"",SUM(Quantity!O297:Z297))</f>
        <v/>
      </c>
      <c r="L296" s="24" t="str" cm="1">
        <f t="array" ref="L296">IF(SUM(CA!O297:Z297)=0,"",SUM(CA!O297:Z297))</f>
        <v/>
      </c>
      <c r="M296" s="23" t="str" cm="1">
        <f t="array" ref="M296">IF(SUM(Quantity!C297:N297)=0,"",SUM(Quantity!C297:N297))</f>
        <v/>
      </c>
      <c r="N296" s="25" t="str" cm="1">
        <f t="array" ref="N296">IF(SUM(CA!C297:N297)=0,"",SUM(CA!C297:N297))</f>
        <v/>
      </c>
    </row>
    <row r="297" spans="1:14" x14ac:dyDescent="0.25">
      <c r="A297" s="1"/>
      <c r="B297" s="22" cm="1">
        <f t="array" ref="B297">Quantity!B298</f>
        <v>0</v>
      </c>
      <c r="C297" s="23" cm="1">
        <f t="array" ref="C297">Quantity!O298</f>
        <v>0</v>
      </c>
      <c r="D297" s="24" cm="1">
        <f t="array" ref="D297">CA!O298</f>
        <v>0</v>
      </c>
      <c r="E297" s="23" cm="1">
        <f t="array" ref="E297">Quantity!C298</f>
        <v>0</v>
      </c>
      <c r="F297" s="25" cm="1">
        <f t="array" ref="F297">CA!C298</f>
        <v>0</v>
      </c>
      <c r="G297" s="26" cm="1">
        <f t="array" aca="1" ref="G297" ca="1">SUMIFS(Quantity!$C298:$AH298,Quantity!$C$7:$AH$7,H$6,Quantity!$C$8:$AH$8,TRUE)</f>
        <v>0</v>
      </c>
      <c r="H297" s="24" cm="1">
        <f t="array" aca="1" ref="H297" ca="1">SUMIFS(CA!$C298:$AQ298,CA!$C$7:$AQ$7,H$6,CA!$C$8:$AQ$8,TRUE)</f>
        <v>0</v>
      </c>
      <c r="I297" s="23" cm="1">
        <f t="array" aca="1" ref="I297" ca="1">SUMIFS(Quantity!$C298:$AH298,Quantity!$C$7:$AH$7,J$6,Quantity!$C$8:$AH$8,TRUE)</f>
        <v>0</v>
      </c>
      <c r="J297" s="25" cm="1">
        <f t="array" aca="1" ref="J297" ca="1">SUMIFS(CA!$C298:$AQ298,CA!$C$7:$AQ$7,J$6,CA!$C$8:$AQ$8,TRUE)</f>
        <v>0</v>
      </c>
      <c r="K297" s="26" t="str" cm="1">
        <f t="array" ref="K297">IF(SUM(Quantity!O298:Z298)=0,"",SUM(Quantity!O298:Z298))</f>
        <v/>
      </c>
      <c r="L297" s="24" t="str" cm="1">
        <f t="array" ref="L297">IF(SUM(CA!O298:Z298)=0,"",SUM(CA!O298:Z298))</f>
        <v/>
      </c>
      <c r="M297" s="23" t="str" cm="1">
        <f t="array" ref="M297">IF(SUM(Quantity!C298:N298)=0,"",SUM(Quantity!C298:N298))</f>
        <v/>
      </c>
      <c r="N297" s="25" t="str" cm="1">
        <f t="array" ref="N297">IF(SUM(CA!C298:N298)=0,"",SUM(CA!C298:N298))</f>
        <v/>
      </c>
    </row>
    <row r="298" spans="1:14" x14ac:dyDescent="0.25">
      <c r="A298" s="1"/>
      <c r="B298" s="22" cm="1">
        <f t="array" ref="B298">Quantity!B299</f>
        <v>0</v>
      </c>
      <c r="C298" s="23" cm="1">
        <f t="array" ref="C298">Quantity!O299</f>
        <v>0</v>
      </c>
      <c r="D298" s="24" cm="1">
        <f t="array" ref="D298">CA!O299</f>
        <v>0</v>
      </c>
      <c r="E298" s="23" cm="1">
        <f t="array" ref="E298">Quantity!C299</f>
        <v>0</v>
      </c>
      <c r="F298" s="25" cm="1">
        <f t="array" ref="F298">CA!C299</f>
        <v>0</v>
      </c>
      <c r="G298" s="26" cm="1">
        <f t="array" aca="1" ref="G298" ca="1">SUMIFS(Quantity!$C299:$AH299,Quantity!$C$7:$AH$7,H$6,Quantity!$C$8:$AH$8,TRUE)</f>
        <v>0</v>
      </c>
      <c r="H298" s="24" cm="1">
        <f t="array" aca="1" ref="H298" ca="1">SUMIFS(CA!$C299:$AQ299,CA!$C$7:$AQ$7,H$6,CA!$C$8:$AQ$8,TRUE)</f>
        <v>0</v>
      </c>
      <c r="I298" s="23" cm="1">
        <f t="array" aca="1" ref="I298" ca="1">SUMIFS(Quantity!$C299:$AH299,Quantity!$C$7:$AH$7,J$6,Quantity!$C$8:$AH$8,TRUE)</f>
        <v>0</v>
      </c>
      <c r="J298" s="25" cm="1">
        <f t="array" aca="1" ref="J298" ca="1">SUMIFS(CA!$C299:$AQ299,CA!$C$7:$AQ$7,J$6,CA!$C$8:$AQ$8,TRUE)</f>
        <v>0</v>
      </c>
      <c r="K298" s="26" t="str" cm="1">
        <f t="array" ref="K298">IF(SUM(Quantity!O299:Z299)=0,"",SUM(Quantity!O299:Z299))</f>
        <v/>
      </c>
      <c r="L298" s="24" t="str" cm="1">
        <f t="array" ref="L298">IF(SUM(CA!O299:Z299)=0,"",SUM(CA!O299:Z299))</f>
        <v/>
      </c>
      <c r="M298" s="23" t="str" cm="1">
        <f t="array" ref="M298">IF(SUM(Quantity!C299:N299)=0,"",SUM(Quantity!C299:N299))</f>
        <v/>
      </c>
      <c r="N298" s="25" t="str" cm="1">
        <f t="array" ref="N298">IF(SUM(CA!C299:N299)=0,"",SUM(CA!C299:N299))</f>
        <v/>
      </c>
    </row>
    <row r="299" spans="1:14" x14ac:dyDescent="0.25">
      <c r="A299" s="1"/>
      <c r="B299" s="22" cm="1">
        <f t="array" ref="B299">Quantity!B300</f>
        <v>0</v>
      </c>
      <c r="C299" s="23" cm="1">
        <f t="array" ref="C299">Quantity!O300</f>
        <v>0</v>
      </c>
      <c r="D299" s="24" cm="1">
        <f t="array" ref="D299">CA!O300</f>
        <v>0</v>
      </c>
      <c r="E299" s="23" cm="1">
        <f t="array" ref="E299">Quantity!C300</f>
        <v>0</v>
      </c>
      <c r="F299" s="25" cm="1">
        <f t="array" ref="F299">CA!C300</f>
        <v>0</v>
      </c>
      <c r="G299" s="26" cm="1">
        <f t="array" aca="1" ref="G299" ca="1">SUMIFS(Quantity!$C300:$AH300,Quantity!$C$7:$AH$7,H$6,Quantity!$C$8:$AH$8,TRUE)</f>
        <v>0</v>
      </c>
      <c r="H299" s="24" cm="1">
        <f t="array" aca="1" ref="H299" ca="1">SUMIFS(CA!$C300:$AQ300,CA!$C$7:$AQ$7,H$6,CA!$C$8:$AQ$8,TRUE)</f>
        <v>0</v>
      </c>
      <c r="I299" s="23" cm="1">
        <f t="array" aca="1" ref="I299" ca="1">SUMIFS(Quantity!$C300:$AH300,Quantity!$C$7:$AH$7,J$6,Quantity!$C$8:$AH$8,TRUE)</f>
        <v>0</v>
      </c>
      <c r="J299" s="25" cm="1">
        <f t="array" aca="1" ref="J299" ca="1">SUMIFS(CA!$C300:$AQ300,CA!$C$7:$AQ$7,J$6,CA!$C$8:$AQ$8,TRUE)</f>
        <v>0</v>
      </c>
      <c r="K299" s="26" t="str" cm="1">
        <f t="array" ref="K299">IF(SUM(Quantity!O300:Z300)=0,"",SUM(Quantity!O300:Z300))</f>
        <v/>
      </c>
      <c r="L299" s="24" t="str" cm="1">
        <f t="array" ref="L299">IF(SUM(CA!O300:Z300)=0,"",SUM(CA!O300:Z300))</f>
        <v/>
      </c>
      <c r="M299" s="23" t="str" cm="1">
        <f t="array" ref="M299">IF(SUM(Quantity!C300:N300)=0,"",SUM(Quantity!C300:N300))</f>
        <v/>
      </c>
      <c r="N299" s="25" t="str" cm="1">
        <f t="array" ref="N299">IF(SUM(CA!C300:N300)=0,"",SUM(CA!C300:N300))</f>
        <v/>
      </c>
    </row>
    <row r="300" spans="1:14" x14ac:dyDescent="0.25">
      <c r="A300" s="1"/>
      <c r="B300" s="22" cm="1">
        <f t="array" ref="B300">Quantity!B301</f>
        <v>0</v>
      </c>
      <c r="C300" s="23" cm="1">
        <f t="array" ref="C300">Quantity!O301</f>
        <v>0</v>
      </c>
      <c r="D300" s="24" cm="1">
        <f t="array" ref="D300">CA!O301</f>
        <v>0</v>
      </c>
      <c r="E300" s="23" cm="1">
        <f t="array" ref="E300">Quantity!C301</f>
        <v>0</v>
      </c>
      <c r="F300" s="25" cm="1">
        <f t="array" ref="F300">CA!C301</f>
        <v>0</v>
      </c>
      <c r="G300" s="26" cm="1">
        <f t="array" aca="1" ref="G300" ca="1">SUMIFS(Quantity!$C301:$AH301,Quantity!$C$7:$AH$7,H$6,Quantity!$C$8:$AH$8,TRUE)</f>
        <v>0</v>
      </c>
      <c r="H300" s="24" cm="1">
        <f t="array" aca="1" ref="H300" ca="1">SUMIFS(CA!$C301:$AQ301,CA!$C$7:$AQ$7,H$6,CA!$C$8:$AQ$8,TRUE)</f>
        <v>0</v>
      </c>
      <c r="I300" s="23" cm="1">
        <f t="array" aca="1" ref="I300" ca="1">SUMIFS(Quantity!$C301:$AH301,Quantity!$C$7:$AH$7,J$6,Quantity!$C$8:$AH$8,TRUE)</f>
        <v>0</v>
      </c>
      <c r="J300" s="25" cm="1">
        <f t="array" aca="1" ref="J300" ca="1">SUMIFS(CA!$C301:$AQ301,CA!$C$7:$AQ$7,J$6,CA!$C$8:$AQ$8,TRUE)</f>
        <v>0</v>
      </c>
      <c r="K300" s="26" t="str" cm="1">
        <f t="array" ref="K300">IF(SUM(Quantity!O301:Z301)=0,"",SUM(Quantity!O301:Z301))</f>
        <v/>
      </c>
      <c r="L300" s="24" t="str" cm="1">
        <f t="array" ref="L300">IF(SUM(CA!O301:Z301)=0,"",SUM(CA!O301:Z301))</f>
        <v/>
      </c>
      <c r="M300" s="23" t="str" cm="1">
        <f t="array" ref="M300">IF(SUM(Quantity!C301:N301)=0,"",SUM(Quantity!C301:N301))</f>
        <v/>
      </c>
      <c r="N300" s="25" t="str" cm="1">
        <f t="array" ref="N300">IF(SUM(CA!C301:N301)=0,"",SUM(CA!C301:N301))</f>
        <v/>
      </c>
    </row>
    <row r="301" spans="1:14" x14ac:dyDescent="0.25">
      <c r="A301" s="1"/>
      <c r="B301" s="22" cm="1">
        <f t="array" ref="B301">Quantity!B302</f>
        <v>0</v>
      </c>
      <c r="C301" s="23" cm="1">
        <f t="array" ref="C301">Quantity!O302</f>
        <v>0</v>
      </c>
      <c r="D301" s="24" cm="1">
        <f t="array" ref="D301">CA!O302</f>
        <v>0</v>
      </c>
      <c r="E301" s="23" cm="1">
        <f t="array" ref="E301">Quantity!C302</f>
        <v>0</v>
      </c>
      <c r="F301" s="25" cm="1">
        <f t="array" ref="F301">CA!C302</f>
        <v>0</v>
      </c>
      <c r="G301" s="26" cm="1">
        <f t="array" aca="1" ref="G301" ca="1">SUMIFS(Quantity!$C302:$AH302,Quantity!$C$7:$AH$7,H$6,Quantity!$C$8:$AH$8,TRUE)</f>
        <v>0</v>
      </c>
      <c r="H301" s="24" cm="1">
        <f t="array" aca="1" ref="H301" ca="1">SUMIFS(CA!$C302:$AQ302,CA!$C$7:$AQ$7,H$6,CA!$C$8:$AQ$8,TRUE)</f>
        <v>0</v>
      </c>
      <c r="I301" s="23" cm="1">
        <f t="array" aca="1" ref="I301" ca="1">SUMIFS(Quantity!$C302:$AH302,Quantity!$C$7:$AH$7,J$6,Quantity!$C$8:$AH$8,TRUE)</f>
        <v>0</v>
      </c>
      <c r="J301" s="25" cm="1">
        <f t="array" aca="1" ref="J301" ca="1">SUMIFS(CA!$C302:$AQ302,CA!$C$7:$AQ$7,J$6,CA!$C$8:$AQ$8,TRUE)</f>
        <v>0</v>
      </c>
      <c r="K301" s="26" t="str" cm="1">
        <f t="array" ref="K301">IF(SUM(Quantity!O302:Z302)=0,"",SUM(Quantity!O302:Z302))</f>
        <v/>
      </c>
      <c r="L301" s="24" t="str" cm="1">
        <f t="array" ref="L301">IF(SUM(CA!O302:Z302)=0,"",SUM(CA!O302:Z302))</f>
        <v/>
      </c>
      <c r="M301" s="23" t="str" cm="1">
        <f t="array" ref="M301">IF(SUM(Quantity!C302:N302)=0,"",SUM(Quantity!C302:N302))</f>
        <v/>
      </c>
      <c r="N301" s="25" t="str" cm="1">
        <f t="array" ref="N301">IF(SUM(CA!C302:N302)=0,"",SUM(CA!C302:N302))</f>
        <v/>
      </c>
    </row>
    <row r="302" spans="1:14" x14ac:dyDescent="0.25">
      <c r="A302" s="1"/>
      <c r="B302" s="22" cm="1">
        <f t="array" ref="B302">Quantity!B303</f>
        <v>0</v>
      </c>
      <c r="C302" s="23" cm="1">
        <f t="array" ref="C302">Quantity!O303</f>
        <v>0</v>
      </c>
      <c r="D302" s="24" cm="1">
        <f t="array" ref="D302">CA!O303</f>
        <v>0</v>
      </c>
      <c r="E302" s="23" cm="1">
        <f t="array" ref="E302">Quantity!C303</f>
        <v>0</v>
      </c>
      <c r="F302" s="25" cm="1">
        <f t="array" ref="F302">CA!C303</f>
        <v>0</v>
      </c>
      <c r="G302" s="26" cm="1">
        <f t="array" aca="1" ref="G302" ca="1">SUMIFS(Quantity!$C303:$AH303,Quantity!$C$7:$AH$7,H$6,Quantity!$C$8:$AH$8,TRUE)</f>
        <v>0</v>
      </c>
      <c r="H302" s="24" cm="1">
        <f t="array" aca="1" ref="H302" ca="1">SUMIFS(CA!$C303:$AQ303,CA!$C$7:$AQ$7,H$6,CA!$C$8:$AQ$8,TRUE)</f>
        <v>0</v>
      </c>
      <c r="I302" s="23" cm="1">
        <f t="array" aca="1" ref="I302" ca="1">SUMIFS(Quantity!$C303:$AH303,Quantity!$C$7:$AH$7,J$6,Quantity!$C$8:$AH$8,TRUE)</f>
        <v>0</v>
      </c>
      <c r="J302" s="25" cm="1">
        <f t="array" aca="1" ref="J302" ca="1">SUMIFS(CA!$C303:$AQ303,CA!$C$7:$AQ$7,J$6,CA!$C$8:$AQ$8,TRUE)</f>
        <v>0</v>
      </c>
      <c r="K302" s="26" t="str" cm="1">
        <f t="array" ref="K302">IF(SUM(Quantity!O303:Z303)=0,"",SUM(Quantity!O303:Z303))</f>
        <v/>
      </c>
      <c r="L302" s="24" t="str" cm="1">
        <f t="array" ref="L302">IF(SUM(CA!O303:Z303)=0,"",SUM(CA!O303:Z303))</f>
        <v/>
      </c>
      <c r="M302" s="23" t="str" cm="1">
        <f t="array" ref="M302">IF(SUM(Quantity!C303:N303)=0,"",SUM(Quantity!C303:N303))</f>
        <v/>
      </c>
      <c r="N302" s="25" t="str" cm="1">
        <f t="array" ref="N302">IF(SUM(CA!C303:N303)=0,"",SUM(CA!C303:N303))</f>
        <v/>
      </c>
    </row>
    <row r="303" spans="1:14" x14ac:dyDescent="0.25">
      <c r="A303" s="1"/>
      <c r="B303" s="22" cm="1">
        <f t="array" ref="B303">Quantity!B304</f>
        <v>0</v>
      </c>
      <c r="C303" s="23" cm="1">
        <f t="array" ref="C303">Quantity!O304</f>
        <v>0</v>
      </c>
      <c r="D303" s="24" cm="1">
        <f t="array" ref="D303">CA!O304</f>
        <v>0</v>
      </c>
      <c r="E303" s="23" cm="1">
        <f t="array" ref="E303">Quantity!C304</f>
        <v>0</v>
      </c>
      <c r="F303" s="25" cm="1">
        <f t="array" ref="F303">CA!C304</f>
        <v>0</v>
      </c>
      <c r="G303" s="26" cm="1">
        <f t="array" aca="1" ref="G303" ca="1">SUMIFS(Quantity!$C304:$AH304,Quantity!$C$7:$AH$7,H$6,Quantity!$C$8:$AH$8,TRUE)</f>
        <v>0</v>
      </c>
      <c r="H303" s="24" cm="1">
        <f t="array" aca="1" ref="H303" ca="1">SUMIFS(CA!$C304:$AQ304,CA!$C$7:$AQ$7,H$6,CA!$C$8:$AQ$8,TRUE)</f>
        <v>0</v>
      </c>
      <c r="I303" s="23" cm="1">
        <f t="array" aca="1" ref="I303" ca="1">SUMIFS(Quantity!$C304:$AH304,Quantity!$C$7:$AH$7,J$6,Quantity!$C$8:$AH$8,TRUE)</f>
        <v>0</v>
      </c>
      <c r="J303" s="25" cm="1">
        <f t="array" aca="1" ref="J303" ca="1">SUMIFS(CA!$C304:$AQ304,CA!$C$7:$AQ$7,J$6,CA!$C$8:$AQ$8,TRUE)</f>
        <v>0</v>
      </c>
      <c r="K303" s="26" t="str" cm="1">
        <f t="array" ref="K303">IF(SUM(Quantity!O304:Z304)=0,"",SUM(Quantity!O304:Z304))</f>
        <v/>
      </c>
      <c r="L303" s="24" t="str" cm="1">
        <f t="array" ref="L303">IF(SUM(CA!O304:Z304)=0,"",SUM(CA!O304:Z304))</f>
        <v/>
      </c>
      <c r="M303" s="23" t="str" cm="1">
        <f t="array" ref="M303">IF(SUM(Quantity!C304:N304)=0,"",SUM(Quantity!C304:N304))</f>
        <v/>
      </c>
      <c r="N303" s="25" t="str" cm="1">
        <f t="array" ref="N303">IF(SUM(CA!C304:N304)=0,"",SUM(CA!C304:N304))</f>
        <v/>
      </c>
    </row>
    <row r="304" spans="1:14" x14ac:dyDescent="0.25">
      <c r="A304" s="1"/>
      <c r="B304" s="22" cm="1">
        <f t="array" ref="B304">Quantity!B305</f>
        <v>0</v>
      </c>
      <c r="C304" s="23" cm="1">
        <f t="array" ref="C304">Quantity!O305</f>
        <v>0</v>
      </c>
      <c r="D304" s="24" cm="1">
        <f t="array" ref="D304">CA!O305</f>
        <v>0</v>
      </c>
      <c r="E304" s="23" cm="1">
        <f t="array" ref="E304">Quantity!C305</f>
        <v>0</v>
      </c>
      <c r="F304" s="25" cm="1">
        <f t="array" ref="F304">CA!C305</f>
        <v>0</v>
      </c>
      <c r="G304" s="26" cm="1">
        <f t="array" aca="1" ref="G304" ca="1">SUMIFS(Quantity!$C305:$AH305,Quantity!$C$7:$AH$7,H$6,Quantity!$C$8:$AH$8,TRUE)</f>
        <v>0</v>
      </c>
      <c r="H304" s="24" cm="1">
        <f t="array" aca="1" ref="H304" ca="1">SUMIFS(CA!$C305:$AQ305,CA!$C$7:$AQ$7,H$6,CA!$C$8:$AQ$8,TRUE)</f>
        <v>0</v>
      </c>
      <c r="I304" s="23" cm="1">
        <f t="array" aca="1" ref="I304" ca="1">SUMIFS(Quantity!$C305:$AH305,Quantity!$C$7:$AH$7,J$6,Quantity!$C$8:$AH$8,TRUE)</f>
        <v>0</v>
      </c>
      <c r="J304" s="25" cm="1">
        <f t="array" aca="1" ref="J304" ca="1">SUMIFS(CA!$C305:$AQ305,CA!$C$7:$AQ$7,J$6,CA!$C$8:$AQ$8,TRUE)</f>
        <v>0</v>
      </c>
      <c r="K304" s="26" t="str" cm="1">
        <f t="array" ref="K304">IF(SUM(Quantity!O305:Z305)=0,"",SUM(Quantity!O305:Z305))</f>
        <v/>
      </c>
      <c r="L304" s="24" t="str" cm="1">
        <f t="array" ref="L304">IF(SUM(CA!O305:Z305)=0,"",SUM(CA!O305:Z305))</f>
        <v/>
      </c>
      <c r="M304" s="23" t="str" cm="1">
        <f t="array" ref="M304">IF(SUM(Quantity!C305:N305)=0,"",SUM(Quantity!C305:N305))</f>
        <v/>
      </c>
      <c r="N304" s="25" t="str" cm="1">
        <f t="array" ref="N304">IF(SUM(CA!C305:N305)=0,"",SUM(CA!C305:N305))</f>
        <v/>
      </c>
    </row>
    <row r="305" spans="1:14" x14ac:dyDescent="0.25">
      <c r="A305" s="1"/>
      <c r="B305" s="22" cm="1">
        <f t="array" ref="B305">Quantity!B306</f>
        <v>0</v>
      </c>
      <c r="C305" s="23" cm="1">
        <f t="array" ref="C305">Quantity!O306</f>
        <v>0</v>
      </c>
      <c r="D305" s="24" cm="1">
        <f t="array" ref="D305">CA!O306</f>
        <v>0</v>
      </c>
      <c r="E305" s="23" cm="1">
        <f t="array" ref="E305">Quantity!C306</f>
        <v>0</v>
      </c>
      <c r="F305" s="25" cm="1">
        <f t="array" ref="F305">CA!C306</f>
        <v>0</v>
      </c>
      <c r="G305" s="26" cm="1">
        <f t="array" aca="1" ref="G305" ca="1">SUMIFS(Quantity!$C306:$AH306,Quantity!$C$7:$AH$7,H$6,Quantity!$C$8:$AH$8,TRUE)</f>
        <v>0</v>
      </c>
      <c r="H305" s="24" cm="1">
        <f t="array" aca="1" ref="H305" ca="1">SUMIFS(CA!$C306:$AQ306,CA!$C$7:$AQ$7,H$6,CA!$C$8:$AQ$8,TRUE)</f>
        <v>0</v>
      </c>
      <c r="I305" s="23" cm="1">
        <f t="array" aca="1" ref="I305" ca="1">SUMIFS(Quantity!$C306:$AH306,Quantity!$C$7:$AH$7,J$6,Quantity!$C$8:$AH$8,TRUE)</f>
        <v>0</v>
      </c>
      <c r="J305" s="25" cm="1">
        <f t="array" aca="1" ref="J305" ca="1">SUMIFS(CA!$C306:$AQ306,CA!$C$7:$AQ$7,J$6,CA!$C$8:$AQ$8,TRUE)</f>
        <v>0</v>
      </c>
      <c r="K305" s="26" t="str" cm="1">
        <f t="array" ref="K305">IF(SUM(Quantity!O306:Z306)=0,"",SUM(Quantity!O306:Z306))</f>
        <v/>
      </c>
      <c r="L305" s="24" t="str" cm="1">
        <f t="array" ref="L305">IF(SUM(CA!O306:Z306)=0,"",SUM(CA!O306:Z306))</f>
        <v/>
      </c>
      <c r="M305" s="23" t="str" cm="1">
        <f t="array" ref="M305">IF(SUM(Quantity!C306:N306)=0,"",SUM(Quantity!C306:N306))</f>
        <v/>
      </c>
      <c r="N305" s="25" t="str" cm="1">
        <f t="array" ref="N305">IF(SUM(CA!C306:N306)=0,"",SUM(CA!C306:N306))</f>
        <v/>
      </c>
    </row>
    <row r="306" spans="1:14" x14ac:dyDescent="0.25">
      <c r="A306" s="1"/>
      <c r="B306" s="22" cm="1">
        <f t="array" ref="B306">Quantity!B307</f>
        <v>0</v>
      </c>
      <c r="C306" s="23" cm="1">
        <f t="array" ref="C306">Quantity!O307</f>
        <v>0</v>
      </c>
      <c r="D306" s="24" cm="1">
        <f t="array" ref="D306">CA!O307</f>
        <v>0</v>
      </c>
      <c r="E306" s="23" cm="1">
        <f t="array" ref="E306">Quantity!C307</f>
        <v>0</v>
      </c>
      <c r="F306" s="25" cm="1">
        <f t="array" ref="F306">CA!C307</f>
        <v>0</v>
      </c>
      <c r="G306" s="26" cm="1">
        <f t="array" aca="1" ref="G306" ca="1">SUMIFS(Quantity!$C307:$AH307,Quantity!$C$7:$AH$7,H$6,Quantity!$C$8:$AH$8,TRUE)</f>
        <v>0</v>
      </c>
      <c r="H306" s="24" cm="1">
        <f t="array" aca="1" ref="H306" ca="1">SUMIFS(CA!$C307:$AQ307,CA!$C$7:$AQ$7,H$6,CA!$C$8:$AQ$8,TRUE)</f>
        <v>0</v>
      </c>
      <c r="I306" s="23" cm="1">
        <f t="array" aca="1" ref="I306" ca="1">SUMIFS(Quantity!$C307:$AH307,Quantity!$C$7:$AH$7,J$6,Quantity!$C$8:$AH$8,TRUE)</f>
        <v>0</v>
      </c>
      <c r="J306" s="25" cm="1">
        <f t="array" aca="1" ref="J306" ca="1">SUMIFS(CA!$C307:$AQ307,CA!$C$7:$AQ$7,J$6,CA!$C$8:$AQ$8,TRUE)</f>
        <v>0</v>
      </c>
      <c r="K306" s="26" t="str" cm="1">
        <f t="array" ref="K306">IF(SUM(Quantity!O307:Z307)=0,"",SUM(Quantity!O307:Z307))</f>
        <v/>
      </c>
      <c r="L306" s="24" t="str" cm="1">
        <f t="array" ref="L306">IF(SUM(CA!O307:Z307)=0,"",SUM(CA!O307:Z307))</f>
        <v/>
      </c>
      <c r="M306" s="23" t="str" cm="1">
        <f t="array" ref="M306">IF(SUM(Quantity!C307:N307)=0,"",SUM(Quantity!C307:N307))</f>
        <v/>
      </c>
      <c r="N306" s="25" t="str" cm="1">
        <f t="array" ref="N306">IF(SUM(CA!C307:N307)=0,"",SUM(CA!C307:N307))</f>
        <v/>
      </c>
    </row>
    <row r="307" spans="1:14" x14ac:dyDescent="0.25">
      <c r="A307" s="1"/>
      <c r="B307" s="22" cm="1">
        <f t="array" ref="B307">Quantity!B308</f>
        <v>0</v>
      </c>
      <c r="C307" s="23" cm="1">
        <f t="array" ref="C307">Quantity!O308</f>
        <v>0</v>
      </c>
      <c r="D307" s="24" cm="1">
        <f t="array" ref="D307">CA!O308</f>
        <v>0</v>
      </c>
      <c r="E307" s="23" cm="1">
        <f t="array" ref="E307">Quantity!C308</f>
        <v>0</v>
      </c>
      <c r="F307" s="25" cm="1">
        <f t="array" ref="F307">CA!C308</f>
        <v>0</v>
      </c>
      <c r="G307" s="26" cm="1">
        <f t="array" aca="1" ref="G307" ca="1">SUMIFS(Quantity!$C308:$AH308,Quantity!$C$7:$AH$7,H$6,Quantity!$C$8:$AH$8,TRUE)</f>
        <v>0</v>
      </c>
      <c r="H307" s="24" cm="1">
        <f t="array" aca="1" ref="H307" ca="1">SUMIFS(CA!$C308:$AQ308,CA!$C$7:$AQ$7,H$6,CA!$C$8:$AQ$8,TRUE)</f>
        <v>0</v>
      </c>
      <c r="I307" s="23" cm="1">
        <f t="array" aca="1" ref="I307" ca="1">SUMIFS(Quantity!$C308:$AH308,Quantity!$C$7:$AH$7,J$6,Quantity!$C$8:$AH$8,TRUE)</f>
        <v>0</v>
      </c>
      <c r="J307" s="25" cm="1">
        <f t="array" aca="1" ref="J307" ca="1">SUMIFS(CA!$C308:$AQ308,CA!$C$7:$AQ$7,J$6,CA!$C$8:$AQ$8,TRUE)</f>
        <v>0</v>
      </c>
      <c r="K307" s="26" t="str" cm="1">
        <f t="array" ref="K307">IF(SUM(Quantity!O308:Z308)=0,"",SUM(Quantity!O308:Z308))</f>
        <v/>
      </c>
      <c r="L307" s="24" t="str" cm="1">
        <f t="array" ref="L307">IF(SUM(CA!O308:Z308)=0,"",SUM(CA!O308:Z308))</f>
        <v/>
      </c>
      <c r="M307" s="23" t="str" cm="1">
        <f t="array" ref="M307">IF(SUM(Quantity!C308:N308)=0,"",SUM(Quantity!C308:N308))</f>
        <v/>
      </c>
      <c r="N307" s="25" t="str" cm="1">
        <f t="array" ref="N307">IF(SUM(CA!C308:N308)=0,"",SUM(CA!C308:N308))</f>
        <v/>
      </c>
    </row>
    <row r="308" spans="1:14" x14ac:dyDescent="0.25">
      <c r="A308" s="1"/>
      <c r="B308" s="22" cm="1">
        <f t="array" ref="B308">Quantity!B309</f>
        <v>0</v>
      </c>
      <c r="C308" s="23" cm="1">
        <f t="array" ref="C308">Quantity!O309</f>
        <v>0</v>
      </c>
      <c r="D308" s="24" cm="1">
        <f t="array" ref="D308">CA!O309</f>
        <v>0</v>
      </c>
      <c r="E308" s="23" cm="1">
        <f t="array" ref="E308">Quantity!C309</f>
        <v>0</v>
      </c>
      <c r="F308" s="25" cm="1">
        <f t="array" ref="F308">CA!C309</f>
        <v>0</v>
      </c>
      <c r="G308" s="26" cm="1">
        <f t="array" aca="1" ref="G308" ca="1">SUMIFS(Quantity!$C309:$AH309,Quantity!$C$7:$AH$7,H$6,Quantity!$C$8:$AH$8,TRUE)</f>
        <v>0</v>
      </c>
      <c r="H308" s="24" cm="1">
        <f t="array" aca="1" ref="H308" ca="1">SUMIFS(CA!$C309:$AQ309,CA!$C$7:$AQ$7,H$6,CA!$C$8:$AQ$8,TRUE)</f>
        <v>0</v>
      </c>
      <c r="I308" s="23" cm="1">
        <f t="array" aca="1" ref="I308" ca="1">SUMIFS(Quantity!$C309:$AH309,Quantity!$C$7:$AH$7,J$6,Quantity!$C$8:$AH$8,TRUE)</f>
        <v>0</v>
      </c>
      <c r="J308" s="25" cm="1">
        <f t="array" aca="1" ref="J308" ca="1">SUMIFS(CA!$C309:$AQ309,CA!$C$7:$AQ$7,J$6,CA!$C$8:$AQ$8,TRUE)</f>
        <v>0</v>
      </c>
      <c r="K308" s="26" t="str" cm="1">
        <f t="array" ref="K308">IF(SUM(Quantity!O309:Z309)=0,"",SUM(Quantity!O309:Z309))</f>
        <v/>
      </c>
      <c r="L308" s="24" t="str" cm="1">
        <f t="array" ref="L308">IF(SUM(CA!O309:Z309)=0,"",SUM(CA!O309:Z309))</f>
        <v/>
      </c>
      <c r="M308" s="23" t="str" cm="1">
        <f t="array" ref="M308">IF(SUM(Quantity!C309:N309)=0,"",SUM(Quantity!C309:N309))</f>
        <v/>
      </c>
      <c r="N308" s="25" t="str" cm="1">
        <f t="array" ref="N308">IF(SUM(CA!C309:N309)=0,"",SUM(CA!C309:N309))</f>
        <v/>
      </c>
    </row>
    <row r="309" spans="1:14" x14ac:dyDescent="0.25">
      <c r="A309" s="1"/>
      <c r="B309" s="22" cm="1">
        <f t="array" ref="B309">Quantity!B310</f>
        <v>0</v>
      </c>
      <c r="C309" s="23" cm="1">
        <f t="array" ref="C309">Quantity!O310</f>
        <v>0</v>
      </c>
      <c r="D309" s="24" cm="1">
        <f t="array" ref="D309">CA!O310</f>
        <v>0</v>
      </c>
      <c r="E309" s="23" cm="1">
        <f t="array" ref="E309">Quantity!C310</f>
        <v>0</v>
      </c>
      <c r="F309" s="25" cm="1">
        <f t="array" ref="F309">CA!C310</f>
        <v>0</v>
      </c>
      <c r="G309" s="26" cm="1">
        <f t="array" aca="1" ref="G309" ca="1">SUMIFS(Quantity!$C310:$AH310,Quantity!$C$7:$AH$7,H$6,Quantity!$C$8:$AH$8,TRUE)</f>
        <v>0</v>
      </c>
      <c r="H309" s="24" cm="1">
        <f t="array" aca="1" ref="H309" ca="1">SUMIFS(CA!$C310:$AQ310,CA!$C$7:$AQ$7,H$6,CA!$C$8:$AQ$8,TRUE)</f>
        <v>0</v>
      </c>
      <c r="I309" s="23" cm="1">
        <f t="array" aca="1" ref="I309" ca="1">SUMIFS(Quantity!$C310:$AH310,Quantity!$C$7:$AH$7,J$6,Quantity!$C$8:$AH$8,TRUE)</f>
        <v>0</v>
      </c>
      <c r="J309" s="25" cm="1">
        <f t="array" aca="1" ref="J309" ca="1">SUMIFS(CA!$C310:$AQ310,CA!$C$7:$AQ$7,J$6,CA!$C$8:$AQ$8,TRUE)</f>
        <v>0</v>
      </c>
      <c r="K309" s="26" t="str" cm="1">
        <f t="array" ref="K309">IF(SUM(Quantity!O310:Z310)=0,"",SUM(Quantity!O310:Z310))</f>
        <v/>
      </c>
      <c r="L309" s="24" t="str" cm="1">
        <f t="array" ref="L309">IF(SUM(CA!O310:Z310)=0,"",SUM(CA!O310:Z310))</f>
        <v/>
      </c>
      <c r="M309" s="23" t="str" cm="1">
        <f t="array" ref="M309">IF(SUM(Quantity!C310:N310)=0,"",SUM(Quantity!C310:N310))</f>
        <v/>
      </c>
      <c r="N309" s="25" t="str" cm="1">
        <f t="array" ref="N309">IF(SUM(CA!C310:N310)=0,"",SUM(CA!C310:N310))</f>
        <v/>
      </c>
    </row>
    <row r="310" spans="1:14" x14ac:dyDescent="0.25">
      <c r="A310" s="1"/>
      <c r="B310" s="22" cm="1">
        <f t="array" ref="B310">Quantity!B311</f>
        <v>0</v>
      </c>
      <c r="C310" s="23" cm="1">
        <f t="array" ref="C310">Quantity!O311</f>
        <v>0</v>
      </c>
      <c r="D310" s="24" cm="1">
        <f t="array" ref="D310">CA!O311</f>
        <v>0</v>
      </c>
      <c r="E310" s="23" cm="1">
        <f t="array" ref="E310">Quantity!C311</f>
        <v>0</v>
      </c>
      <c r="F310" s="25" cm="1">
        <f t="array" ref="F310">CA!C311</f>
        <v>0</v>
      </c>
      <c r="G310" s="26" cm="1">
        <f t="array" aca="1" ref="G310" ca="1">SUMIFS(Quantity!$C311:$AH311,Quantity!$C$7:$AH$7,H$6,Quantity!$C$8:$AH$8,TRUE)</f>
        <v>0</v>
      </c>
      <c r="H310" s="24" cm="1">
        <f t="array" aca="1" ref="H310" ca="1">SUMIFS(CA!$C311:$AQ311,CA!$C$7:$AQ$7,H$6,CA!$C$8:$AQ$8,TRUE)</f>
        <v>0</v>
      </c>
      <c r="I310" s="23" cm="1">
        <f t="array" aca="1" ref="I310" ca="1">SUMIFS(Quantity!$C311:$AH311,Quantity!$C$7:$AH$7,J$6,Quantity!$C$8:$AH$8,TRUE)</f>
        <v>0</v>
      </c>
      <c r="J310" s="25" cm="1">
        <f t="array" aca="1" ref="J310" ca="1">SUMIFS(CA!$C311:$AQ311,CA!$C$7:$AQ$7,J$6,CA!$C$8:$AQ$8,TRUE)</f>
        <v>0</v>
      </c>
      <c r="K310" s="26" t="str" cm="1">
        <f t="array" ref="K310">IF(SUM(Quantity!O311:Z311)=0,"",SUM(Quantity!O311:Z311))</f>
        <v/>
      </c>
      <c r="L310" s="24" t="str" cm="1">
        <f t="array" ref="L310">IF(SUM(CA!O311:Z311)=0,"",SUM(CA!O311:Z311))</f>
        <v/>
      </c>
      <c r="M310" s="23" t="str" cm="1">
        <f t="array" ref="M310">IF(SUM(Quantity!C311:N311)=0,"",SUM(Quantity!C311:N311))</f>
        <v/>
      </c>
      <c r="N310" s="25" t="str" cm="1">
        <f t="array" ref="N310">IF(SUM(CA!C311:N311)=0,"",SUM(CA!C311:N311))</f>
        <v/>
      </c>
    </row>
    <row r="311" spans="1:14" x14ac:dyDescent="0.25">
      <c r="A311" s="1"/>
      <c r="B311" s="22" cm="1">
        <f t="array" ref="B311">Quantity!B312</f>
        <v>0</v>
      </c>
      <c r="C311" s="23" cm="1">
        <f t="array" ref="C311">Quantity!O312</f>
        <v>0</v>
      </c>
      <c r="D311" s="24" cm="1">
        <f t="array" ref="D311">CA!O312</f>
        <v>0</v>
      </c>
      <c r="E311" s="23" cm="1">
        <f t="array" ref="E311">Quantity!C312</f>
        <v>0</v>
      </c>
      <c r="F311" s="25" cm="1">
        <f t="array" ref="F311">CA!C312</f>
        <v>0</v>
      </c>
      <c r="G311" s="26" cm="1">
        <f t="array" aca="1" ref="G311" ca="1">SUMIFS(Quantity!$C312:$AH312,Quantity!$C$7:$AH$7,H$6,Quantity!$C$8:$AH$8,TRUE)</f>
        <v>0</v>
      </c>
      <c r="H311" s="24" cm="1">
        <f t="array" aca="1" ref="H311" ca="1">SUMIFS(CA!$C312:$AQ312,CA!$C$7:$AQ$7,H$6,CA!$C$8:$AQ$8,TRUE)</f>
        <v>0</v>
      </c>
      <c r="I311" s="23" cm="1">
        <f t="array" aca="1" ref="I311" ca="1">SUMIFS(Quantity!$C312:$AH312,Quantity!$C$7:$AH$7,J$6,Quantity!$C$8:$AH$8,TRUE)</f>
        <v>0</v>
      </c>
      <c r="J311" s="25" cm="1">
        <f t="array" aca="1" ref="J311" ca="1">SUMIFS(CA!$C312:$AQ312,CA!$C$7:$AQ$7,J$6,CA!$C$8:$AQ$8,TRUE)</f>
        <v>0</v>
      </c>
      <c r="K311" s="26" t="str" cm="1">
        <f t="array" ref="K311">IF(SUM(Quantity!O312:Z312)=0,"",SUM(Quantity!O312:Z312))</f>
        <v/>
      </c>
      <c r="L311" s="24" t="str" cm="1">
        <f t="array" ref="L311">IF(SUM(CA!O312:Z312)=0,"",SUM(CA!O312:Z312))</f>
        <v/>
      </c>
      <c r="M311" s="23" t="str" cm="1">
        <f t="array" ref="M311">IF(SUM(Quantity!C312:N312)=0,"",SUM(Quantity!C312:N312))</f>
        <v/>
      </c>
      <c r="N311" s="25" t="str" cm="1">
        <f t="array" ref="N311">IF(SUM(CA!C312:N312)=0,"",SUM(CA!C312:N312))</f>
        <v/>
      </c>
    </row>
    <row r="312" spans="1:14" x14ac:dyDescent="0.25">
      <c r="A312" s="1"/>
      <c r="B312" s="22" cm="1">
        <f t="array" ref="B312">Quantity!B313</f>
        <v>0</v>
      </c>
      <c r="C312" s="23" cm="1">
        <f t="array" ref="C312">Quantity!O313</f>
        <v>0</v>
      </c>
      <c r="D312" s="24" cm="1">
        <f t="array" ref="D312">CA!O313</f>
        <v>0</v>
      </c>
      <c r="E312" s="23" cm="1">
        <f t="array" ref="E312">Quantity!C313</f>
        <v>0</v>
      </c>
      <c r="F312" s="25" cm="1">
        <f t="array" ref="F312">CA!C313</f>
        <v>0</v>
      </c>
      <c r="G312" s="26" cm="1">
        <f t="array" aca="1" ref="G312" ca="1">SUMIFS(Quantity!$C313:$AH313,Quantity!$C$7:$AH$7,H$6,Quantity!$C$8:$AH$8,TRUE)</f>
        <v>0</v>
      </c>
      <c r="H312" s="24" cm="1">
        <f t="array" aca="1" ref="H312" ca="1">SUMIFS(CA!$C313:$AQ313,CA!$C$7:$AQ$7,H$6,CA!$C$8:$AQ$8,TRUE)</f>
        <v>0</v>
      </c>
      <c r="I312" s="23" cm="1">
        <f t="array" aca="1" ref="I312" ca="1">SUMIFS(Quantity!$C313:$AH313,Quantity!$C$7:$AH$7,J$6,Quantity!$C$8:$AH$8,TRUE)</f>
        <v>0</v>
      </c>
      <c r="J312" s="25" cm="1">
        <f t="array" aca="1" ref="J312" ca="1">SUMIFS(CA!$C313:$AQ313,CA!$C$7:$AQ$7,J$6,CA!$C$8:$AQ$8,TRUE)</f>
        <v>0</v>
      </c>
      <c r="K312" s="26" t="str" cm="1">
        <f t="array" ref="K312">IF(SUM(Quantity!O313:Z313)=0,"",SUM(Quantity!O313:Z313))</f>
        <v/>
      </c>
      <c r="L312" s="24" t="str" cm="1">
        <f t="array" ref="L312">IF(SUM(CA!O313:Z313)=0,"",SUM(CA!O313:Z313))</f>
        <v/>
      </c>
      <c r="M312" s="23" t="str" cm="1">
        <f t="array" ref="M312">IF(SUM(Quantity!C313:N313)=0,"",SUM(Quantity!C313:N313))</f>
        <v/>
      </c>
      <c r="N312" s="25" t="str" cm="1">
        <f t="array" ref="N312">IF(SUM(CA!C313:N313)=0,"",SUM(CA!C313:N313))</f>
        <v/>
      </c>
    </row>
    <row r="313" spans="1:14" x14ac:dyDescent="0.25">
      <c r="A313" s="1"/>
      <c r="B313" s="22" cm="1">
        <f t="array" ref="B313">Quantity!B314</f>
        <v>0</v>
      </c>
      <c r="C313" s="23" cm="1">
        <f t="array" ref="C313">Quantity!O314</f>
        <v>0</v>
      </c>
      <c r="D313" s="24" cm="1">
        <f t="array" ref="D313">CA!O314</f>
        <v>0</v>
      </c>
      <c r="E313" s="23" cm="1">
        <f t="array" ref="E313">Quantity!C314</f>
        <v>0</v>
      </c>
      <c r="F313" s="25" cm="1">
        <f t="array" ref="F313">CA!C314</f>
        <v>0</v>
      </c>
      <c r="G313" s="26" cm="1">
        <f t="array" aca="1" ref="G313" ca="1">SUMIFS(Quantity!$C314:$AH314,Quantity!$C$7:$AH$7,H$6,Quantity!$C$8:$AH$8,TRUE)</f>
        <v>0</v>
      </c>
      <c r="H313" s="24" cm="1">
        <f t="array" aca="1" ref="H313" ca="1">SUMIFS(CA!$C314:$AQ314,CA!$C$7:$AQ$7,H$6,CA!$C$8:$AQ$8,TRUE)</f>
        <v>0</v>
      </c>
      <c r="I313" s="23" cm="1">
        <f t="array" aca="1" ref="I313" ca="1">SUMIFS(Quantity!$C314:$AH314,Quantity!$C$7:$AH$7,J$6,Quantity!$C$8:$AH$8,TRUE)</f>
        <v>0</v>
      </c>
      <c r="J313" s="25" cm="1">
        <f t="array" aca="1" ref="J313" ca="1">SUMIFS(CA!$C314:$AQ314,CA!$C$7:$AQ$7,J$6,CA!$C$8:$AQ$8,TRUE)</f>
        <v>0</v>
      </c>
      <c r="K313" s="26" t="str" cm="1">
        <f t="array" ref="K313">IF(SUM(Quantity!O314:Z314)=0,"",SUM(Quantity!O314:Z314))</f>
        <v/>
      </c>
      <c r="L313" s="24" t="str" cm="1">
        <f t="array" ref="L313">IF(SUM(CA!O314:Z314)=0,"",SUM(CA!O314:Z314))</f>
        <v/>
      </c>
      <c r="M313" s="23" t="str" cm="1">
        <f t="array" ref="M313">IF(SUM(Quantity!C314:N314)=0,"",SUM(Quantity!C314:N314))</f>
        <v/>
      </c>
      <c r="N313" s="25" t="str" cm="1">
        <f t="array" ref="N313">IF(SUM(CA!C314:N314)=0,"",SUM(CA!C314:N314))</f>
        <v/>
      </c>
    </row>
    <row r="314" spans="1:14" x14ac:dyDescent="0.25">
      <c r="A314" s="1"/>
      <c r="B314" s="22" cm="1">
        <f t="array" ref="B314">Quantity!B315</f>
        <v>0</v>
      </c>
      <c r="C314" s="23" cm="1">
        <f t="array" ref="C314">Quantity!O315</f>
        <v>0</v>
      </c>
      <c r="D314" s="24" cm="1">
        <f t="array" ref="D314">CA!O315</f>
        <v>0</v>
      </c>
      <c r="E314" s="23" cm="1">
        <f t="array" ref="E314">Quantity!C315</f>
        <v>0</v>
      </c>
      <c r="F314" s="25" cm="1">
        <f t="array" ref="F314">CA!C315</f>
        <v>0</v>
      </c>
      <c r="G314" s="26" cm="1">
        <f t="array" aca="1" ref="G314" ca="1">SUMIFS(Quantity!$C315:$AH315,Quantity!$C$7:$AH$7,H$6,Quantity!$C$8:$AH$8,TRUE)</f>
        <v>0</v>
      </c>
      <c r="H314" s="24" cm="1">
        <f t="array" aca="1" ref="H314" ca="1">SUMIFS(CA!$C315:$AQ315,CA!$C$7:$AQ$7,H$6,CA!$C$8:$AQ$8,TRUE)</f>
        <v>0</v>
      </c>
      <c r="I314" s="23" cm="1">
        <f t="array" aca="1" ref="I314" ca="1">SUMIFS(Quantity!$C315:$AH315,Quantity!$C$7:$AH$7,J$6,Quantity!$C$8:$AH$8,TRUE)</f>
        <v>0</v>
      </c>
      <c r="J314" s="25" cm="1">
        <f t="array" aca="1" ref="J314" ca="1">SUMIFS(CA!$C315:$AQ315,CA!$C$7:$AQ$7,J$6,CA!$C$8:$AQ$8,TRUE)</f>
        <v>0</v>
      </c>
      <c r="K314" s="26" t="str" cm="1">
        <f t="array" ref="K314">IF(SUM(Quantity!O315:Z315)=0,"",SUM(Quantity!O315:Z315))</f>
        <v/>
      </c>
      <c r="L314" s="24" t="str" cm="1">
        <f t="array" ref="L314">IF(SUM(CA!O315:Z315)=0,"",SUM(CA!O315:Z315))</f>
        <v/>
      </c>
      <c r="M314" s="23" t="str" cm="1">
        <f t="array" ref="M314">IF(SUM(Quantity!C315:N315)=0,"",SUM(Quantity!C315:N315))</f>
        <v/>
      </c>
      <c r="N314" s="25" t="str" cm="1">
        <f t="array" ref="N314">IF(SUM(CA!C315:N315)=0,"",SUM(CA!C315:N315))</f>
        <v/>
      </c>
    </row>
    <row r="315" spans="1:14" x14ac:dyDescent="0.25">
      <c r="A315" s="1"/>
      <c r="B315" s="22" cm="1">
        <f t="array" ref="B315">Quantity!B316</f>
        <v>0</v>
      </c>
      <c r="C315" s="23" cm="1">
        <f t="array" ref="C315">Quantity!O316</f>
        <v>0</v>
      </c>
      <c r="D315" s="24" cm="1">
        <f t="array" ref="D315">CA!O316</f>
        <v>0</v>
      </c>
      <c r="E315" s="23" cm="1">
        <f t="array" ref="E315">Quantity!C316</f>
        <v>0</v>
      </c>
      <c r="F315" s="25" cm="1">
        <f t="array" ref="F315">CA!C316</f>
        <v>0</v>
      </c>
      <c r="G315" s="26" cm="1">
        <f t="array" aca="1" ref="G315" ca="1">SUMIFS(Quantity!$C316:$AH316,Quantity!$C$7:$AH$7,H$6,Quantity!$C$8:$AH$8,TRUE)</f>
        <v>0</v>
      </c>
      <c r="H315" s="24" cm="1">
        <f t="array" aca="1" ref="H315" ca="1">SUMIFS(CA!$C316:$AQ316,CA!$C$7:$AQ$7,H$6,CA!$C$8:$AQ$8,TRUE)</f>
        <v>0</v>
      </c>
      <c r="I315" s="23" cm="1">
        <f t="array" aca="1" ref="I315" ca="1">SUMIFS(Quantity!$C316:$AH316,Quantity!$C$7:$AH$7,J$6,Quantity!$C$8:$AH$8,TRUE)</f>
        <v>0</v>
      </c>
      <c r="J315" s="25" cm="1">
        <f t="array" aca="1" ref="J315" ca="1">SUMIFS(CA!$C316:$AQ316,CA!$C$7:$AQ$7,J$6,CA!$C$8:$AQ$8,TRUE)</f>
        <v>0</v>
      </c>
      <c r="K315" s="26" t="str" cm="1">
        <f t="array" ref="K315">IF(SUM(Quantity!O316:Z316)=0,"",SUM(Quantity!O316:Z316))</f>
        <v/>
      </c>
      <c r="L315" s="24" t="str" cm="1">
        <f t="array" ref="L315">IF(SUM(CA!O316:Z316)=0,"",SUM(CA!O316:Z316))</f>
        <v/>
      </c>
      <c r="M315" s="23" t="str" cm="1">
        <f t="array" ref="M315">IF(SUM(Quantity!C316:N316)=0,"",SUM(Quantity!C316:N316))</f>
        <v/>
      </c>
      <c r="N315" s="25" t="str" cm="1">
        <f t="array" ref="N315">IF(SUM(CA!C316:N316)=0,"",SUM(CA!C316:N316))</f>
        <v/>
      </c>
    </row>
    <row r="316" spans="1:14" x14ac:dyDescent="0.25">
      <c r="A316" s="1"/>
      <c r="B316" s="22" cm="1">
        <f t="array" ref="B316">Quantity!B317</f>
        <v>0</v>
      </c>
      <c r="C316" s="23" cm="1">
        <f t="array" ref="C316">Quantity!O317</f>
        <v>0</v>
      </c>
      <c r="D316" s="24" cm="1">
        <f t="array" ref="D316">CA!O317</f>
        <v>0</v>
      </c>
      <c r="E316" s="23" cm="1">
        <f t="array" ref="E316">Quantity!C317</f>
        <v>0</v>
      </c>
      <c r="F316" s="25" cm="1">
        <f t="array" ref="F316">CA!C317</f>
        <v>0</v>
      </c>
      <c r="G316" s="26" cm="1">
        <f t="array" aca="1" ref="G316" ca="1">SUMIFS(Quantity!$C317:$AH317,Quantity!$C$7:$AH$7,H$6,Quantity!$C$8:$AH$8,TRUE)</f>
        <v>0</v>
      </c>
      <c r="H316" s="24" cm="1">
        <f t="array" aca="1" ref="H316" ca="1">SUMIFS(CA!$C317:$AQ317,CA!$C$7:$AQ$7,H$6,CA!$C$8:$AQ$8,TRUE)</f>
        <v>0</v>
      </c>
      <c r="I316" s="23" cm="1">
        <f t="array" aca="1" ref="I316" ca="1">SUMIFS(Quantity!$C317:$AH317,Quantity!$C$7:$AH$7,J$6,Quantity!$C$8:$AH$8,TRUE)</f>
        <v>0</v>
      </c>
      <c r="J316" s="25" cm="1">
        <f t="array" aca="1" ref="J316" ca="1">SUMIFS(CA!$C317:$AQ317,CA!$C$7:$AQ$7,J$6,CA!$C$8:$AQ$8,TRUE)</f>
        <v>0</v>
      </c>
      <c r="K316" s="26" t="str" cm="1">
        <f t="array" ref="K316">IF(SUM(Quantity!O317:Z317)=0,"",SUM(Quantity!O317:Z317))</f>
        <v/>
      </c>
      <c r="L316" s="24" t="str" cm="1">
        <f t="array" ref="L316">IF(SUM(CA!O317:Z317)=0,"",SUM(CA!O317:Z317))</f>
        <v/>
      </c>
      <c r="M316" s="23" t="str" cm="1">
        <f t="array" ref="M316">IF(SUM(Quantity!C317:N317)=0,"",SUM(Quantity!C317:N317))</f>
        <v/>
      </c>
      <c r="N316" s="25" t="str" cm="1">
        <f t="array" ref="N316">IF(SUM(CA!C317:N317)=0,"",SUM(CA!C317:N317))</f>
        <v/>
      </c>
    </row>
    <row r="317" spans="1:14" x14ac:dyDescent="0.25">
      <c r="A317" s="1"/>
      <c r="B317" s="22" cm="1">
        <f t="array" ref="B317">Quantity!B318</f>
        <v>0</v>
      </c>
      <c r="C317" s="23" cm="1">
        <f t="array" ref="C317">Quantity!O318</f>
        <v>0</v>
      </c>
      <c r="D317" s="24" cm="1">
        <f t="array" ref="D317">CA!O318</f>
        <v>0</v>
      </c>
      <c r="E317" s="23" cm="1">
        <f t="array" ref="E317">Quantity!C318</f>
        <v>0</v>
      </c>
      <c r="F317" s="25" cm="1">
        <f t="array" ref="F317">CA!C318</f>
        <v>0</v>
      </c>
      <c r="G317" s="26" cm="1">
        <f t="array" aca="1" ref="G317" ca="1">SUMIFS(Quantity!$C318:$AH318,Quantity!$C$7:$AH$7,H$6,Quantity!$C$8:$AH$8,TRUE)</f>
        <v>0</v>
      </c>
      <c r="H317" s="24" cm="1">
        <f t="array" aca="1" ref="H317" ca="1">SUMIFS(CA!$C318:$AQ318,CA!$C$7:$AQ$7,H$6,CA!$C$8:$AQ$8,TRUE)</f>
        <v>0</v>
      </c>
      <c r="I317" s="23" cm="1">
        <f t="array" aca="1" ref="I317" ca="1">SUMIFS(Quantity!$C318:$AH318,Quantity!$C$7:$AH$7,J$6,Quantity!$C$8:$AH$8,TRUE)</f>
        <v>0</v>
      </c>
      <c r="J317" s="25" cm="1">
        <f t="array" aca="1" ref="J317" ca="1">SUMIFS(CA!$C318:$AQ318,CA!$C$7:$AQ$7,J$6,CA!$C$8:$AQ$8,TRUE)</f>
        <v>0</v>
      </c>
      <c r="K317" s="26" t="str" cm="1">
        <f t="array" ref="K317">IF(SUM(Quantity!O318:Z318)=0,"",SUM(Quantity!O318:Z318))</f>
        <v/>
      </c>
      <c r="L317" s="24" t="str" cm="1">
        <f t="array" ref="L317">IF(SUM(CA!O318:Z318)=0,"",SUM(CA!O318:Z318))</f>
        <v/>
      </c>
      <c r="M317" s="23" t="str" cm="1">
        <f t="array" ref="M317">IF(SUM(Quantity!C318:N318)=0,"",SUM(Quantity!C318:N318))</f>
        <v/>
      </c>
      <c r="N317" s="25" t="str" cm="1">
        <f t="array" ref="N317">IF(SUM(CA!C318:N318)=0,"",SUM(CA!C318:N318))</f>
        <v/>
      </c>
    </row>
    <row r="318" spans="1:14" x14ac:dyDescent="0.25">
      <c r="A318" s="1"/>
      <c r="B318" s="22" cm="1">
        <f t="array" ref="B318">Quantity!B319</f>
        <v>0</v>
      </c>
      <c r="C318" s="23" cm="1">
        <f t="array" ref="C318">Quantity!O319</f>
        <v>0</v>
      </c>
      <c r="D318" s="24" cm="1">
        <f t="array" ref="D318">CA!O319</f>
        <v>0</v>
      </c>
      <c r="E318" s="23" cm="1">
        <f t="array" ref="E318">Quantity!C319</f>
        <v>0</v>
      </c>
      <c r="F318" s="25" cm="1">
        <f t="array" ref="F318">CA!C319</f>
        <v>0</v>
      </c>
      <c r="G318" s="26" cm="1">
        <f t="array" aca="1" ref="G318" ca="1">SUMIFS(Quantity!$C319:$AH319,Quantity!$C$7:$AH$7,H$6,Quantity!$C$8:$AH$8,TRUE)</f>
        <v>0</v>
      </c>
      <c r="H318" s="24" cm="1">
        <f t="array" aca="1" ref="H318" ca="1">SUMIFS(CA!$C319:$AQ319,CA!$C$7:$AQ$7,H$6,CA!$C$8:$AQ$8,TRUE)</f>
        <v>0</v>
      </c>
      <c r="I318" s="23" cm="1">
        <f t="array" aca="1" ref="I318" ca="1">SUMIFS(Quantity!$C319:$AH319,Quantity!$C$7:$AH$7,J$6,Quantity!$C$8:$AH$8,TRUE)</f>
        <v>0</v>
      </c>
      <c r="J318" s="25" cm="1">
        <f t="array" aca="1" ref="J318" ca="1">SUMIFS(CA!$C319:$AQ319,CA!$C$7:$AQ$7,J$6,CA!$C$8:$AQ$8,TRUE)</f>
        <v>0</v>
      </c>
      <c r="K318" s="26" t="str" cm="1">
        <f t="array" ref="K318">IF(SUM(Quantity!O319:Z319)=0,"",SUM(Quantity!O319:Z319))</f>
        <v/>
      </c>
      <c r="L318" s="24" t="str" cm="1">
        <f t="array" ref="L318">IF(SUM(CA!O319:Z319)=0,"",SUM(CA!O319:Z319))</f>
        <v/>
      </c>
      <c r="M318" s="23" t="str" cm="1">
        <f t="array" ref="M318">IF(SUM(Quantity!C319:N319)=0,"",SUM(Quantity!C319:N319))</f>
        <v/>
      </c>
      <c r="N318" s="25" t="str" cm="1">
        <f t="array" ref="N318">IF(SUM(CA!C319:N319)=0,"",SUM(CA!C319:N319))</f>
        <v/>
      </c>
    </row>
    <row r="319" spans="1:14" x14ac:dyDescent="0.25">
      <c r="A319" s="1"/>
      <c r="B319" s="22" cm="1">
        <f t="array" ref="B319">Quantity!B320</f>
        <v>0</v>
      </c>
      <c r="C319" s="23" cm="1">
        <f t="array" ref="C319">Quantity!O320</f>
        <v>0</v>
      </c>
      <c r="D319" s="24" cm="1">
        <f t="array" ref="D319">CA!O320</f>
        <v>0</v>
      </c>
      <c r="E319" s="23" cm="1">
        <f t="array" ref="E319">Quantity!C320</f>
        <v>0</v>
      </c>
      <c r="F319" s="25" cm="1">
        <f t="array" ref="F319">CA!C320</f>
        <v>0</v>
      </c>
      <c r="G319" s="26" cm="1">
        <f t="array" aca="1" ref="G319" ca="1">SUMIFS(Quantity!$C320:$AH320,Quantity!$C$7:$AH$7,H$6,Quantity!$C$8:$AH$8,TRUE)</f>
        <v>0</v>
      </c>
      <c r="H319" s="24" cm="1">
        <f t="array" aca="1" ref="H319" ca="1">SUMIFS(CA!$C320:$AQ320,CA!$C$7:$AQ$7,H$6,CA!$C$8:$AQ$8,TRUE)</f>
        <v>0</v>
      </c>
      <c r="I319" s="23" cm="1">
        <f t="array" aca="1" ref="I319" ca="1">SUMIFS(Quantity!$C320:$AH320,Quantity!$C$7:$AH$7,J$6,Quantity!$C$8:$AH$8,TRUE)</f>
        <v>0</v>
      </c>
      <c r="J319" s="25" cm="1">
        <f t="array" aca="1" ref="J319" ca="1">SUMIFS(CA!$C320:$AQ320,CA!$C$7:$AQ$7,J$6,CA!$C$8:$AQ$8,TRUE)</f>
        <v>0</v>
      </c>
      <c r="K319" s="26" t="str" cm="1">
        <f t="array" ref="K319">IF(SUM(Quantity!O320:Z320)=0,"",SUM(Quantity!O320:Z320))</f>
        <v/>
      </c>
      <c r="L319" s="24" t="str" cm="1">
        <f t="array" ref="L319">IF(SUM(CA!O320:Z320)=0,"",SUM(CA!O320:Z320))</f>
        <v/>
      </c>
      <c r="M319" s="23" t="str" cm="1">
        <f t="array" ref="M319">IF(SUM(Quantity!C320:N320)=0,"",SUM(Quantity!C320:N320))</f>
        <v/>
      </c>
      <c r="N319" s="25" t="str" cm="1">
        <f t="array" ref="N319">IF(SUM(CA!C320:N320)=0,"",SUM(CA!C320:N320))</f>
        <v/>
      </c>
    </row>
    <row r="320" spans="1:14" x14ac:dyDescent="0.25">
      <c r="A320" s="1"/>
      <c r="B320" s="22" cm="1">
        <f t="array" ref="B320">Quantity!B321</f>
        <v>0</v>
      </c>
      <c r="C320" s="23" cm="1">
        <f t="array" ref="C320">Quantity!O321</f>
        <v>0</v>
      </c>
      <c r="D320" s="24" cm="1">
        <f t="array" ref="D320">CA!O321</f>
        <v>0</v>
      </c>
      <c r="E320" s="23" cm="1">
        <f t="array" ref="E320">Quantity!C321</f>
        <v>0</v>
      </c>
      <c r="F320" s="25" cm="1">
        <f t="array" ref="F320">CA!C321</f>
        <v>0</v>
      </c>
      <c r="G320" s="26" cm="1">
        <f t="array" aca="1" ref="G320" ca="1">SUMIFS(Quantity!$C321:$AH321,Quantity!$C$7:$AH$7,H$6,Quantity!$C$8:$AH$8,TRUE)</f>
        <v>0</v>
      </c>
      <c r="H320" s="24" cm="1">
        <f t="array" aca="1" ref="H320" ca="1">SUMIFS(CA!$C321:$AQ321,CA!$C$7:$AQ$7,H$6,CA!$C$8:$AQ$8,TRUE)</f>
        <v>0</v>
      </c>
      <c r="I320" s="23" cm="1">
        <f t="array" aca="1" ref="I320" ca="1">SUMIFS(Quantity!$C321:$AH321,Quantity!$C$7:$AH$7,J$6,Quantity!$C$8:$AH$8,TRUE)</f>
        <v>0</v>
      </c>
      <c r="J320" s="25" cm="1">
        <f t="array" aca="1" ref="J320" ca="1">SUMIFS(CA!$C321:$AQ321,CA!$C$7:$AQ$7,J$6,CA!$C$8:$AQ$8,TRUE)</f>
        <v>0</v>
      </c>
      <c r="K320" s="26" t="str" cm="1">
        <f t="array" ref="K320">IF(SUM(Quantity!O321:Z321)=0,"",SUM(Quantity!O321:Z321))</f>
        <v/>
      </c>
      <c r="L320" s="24" t="str" cm="1">
        <f t="array" ref="L320">IF(SUM(CA!O321:Z321)=0,"",SUM(CA!O321:Z321))</f>
        <v/>
      </c>
      <c r="M320" s="23" t="str" cm="1">
        <f t="array" ref="M320">IF(SUM(Quantity!C321:N321)=0,"",SUM(Quantity!C321:N321))</f>
        <v/>
      </c>
      <c r="N320" s="25" t="str" cm="1">
        <f t="array" ref="N320">IF(SUM(CA!C321:N321)=0,"",SUM(CA!C321:N321))</f>
        <v/>
      </c>
    </row>
    <row r="321" spans="1:14" x14ac:dyDescent="0.25">
      <c r="A321" s="1"/>
      <c r="B321" s="22" cm="1">
        <f t="array" ref="B321">Quantity!B322</f>
        <v>0</v>
      </c>
      <c r="C321" s="23" cm="1">
        <f t="array" ref="C321">Quantity!O322</f>
        <v>0</v>
      </c>
      <c r="D321" s="24" cm="1">
        <f t="array" ref="D321">CA!O322</f>
        <v>0</v>
      </c>
      <c r="E321" s="23" cm="1">
        <f t="array" ref="E321">Quantity!C322</f>
        <v>0</v>
      </c>
      <c r="F321" s="25" cm="1">
        <f t="array" ref="F321">CA!C322</f>
        <v>0</v>
      </c>
      <c r="G321" s="26" cm="1">
        <f t="array" aca="1" ref="G321" ca="1">SUMIFS(Quantity!$C322:$AH322,Quantity!$C$7:$AH$7,H$6,Quantity!$C$8:$AH$8,TRUE)</f>
        <v>0</v>
      </c>
      <c r="H321" s="24" cm="1">
        <f t="array" aca="1" ref="H321" ca="1">SUMIFS(CA!$C322:$AQ322,CA!$C$7:$AQ$7,H$6,CA!$C$8:$AQ$8,TRUE)</f>
        <v>0</v>
      </c>
      <c r="I321" s="23" cm="1">
        <f t="array" aca="1" ref="I321" ca="1">SUMIFS(Quantity!$C322:$AH322,Quantity!$C$7:$AH$7,J$6,Quantity!$C$8:$AH$8,TRUE)</f>
        <v>0</v>
      </c>
      <c r="J321" s="25" cm="1">
        <f t="array" aca="1" ref="J321" ca="1">SUMIFS(CA!$C322:$AQ322,CA!$C$7:$AQ$7,J$6,CA!$C$8:$AQ$8,TRUE)</f>
        <v>0</v>
      </c>
      <c r="K321" s="26" t="str" cm="1">
        <f t="array" ref="K321">IF(SUM(Quantity!O322:Z322)=0,"",SUM(Quantity!O322:Z322))</f>
        <v/>
      </c>
      <c r="L321" s="24" t="str" cm="1">
        <f t="array" ref="L321">IF(SUM(CA!O322:Z322)=0,"",SUM(CA!O322:Z322))</f>
        <v/>
      </c>
      <c r="M321" s="23" t="str" cm="1">
        <f t="array" ref="M321">IF(SUM(Quantity!C322:N322)=0,"",SUM(Quantity!C322:N322))</f>
        <v/>
      </c>
      <c r="N321" s="25" t="str" cm="1">
        <f t="array" ref="N321">IF(SUM(CA!C322:N322)=0,"",SUM(CA!C322:N322))</f>
        <v/>
      </c>
    </row>
    <row r="322" spans="1:14" x14ac:dyDescent="0.25">
      <c r="A322" s="1"/>
      <c r="B322" s="22" cm="1">
        <f t="array" ref="B322">Quantity!B323</f>
        <v>0</v>
      </c>
      <c r="C322" s="23" cm="1">
        <f t="array" ref="C322">Quantity!O323</f>
        <v>0</v>
      </c>
      <c r="D322" s="24" cm="1">
        <f t="array" ref="D322">CA!O323</f>
        <v>0</v>
      </c>
      <c r="E322" s="23" cm="1">
        <f t="array" ref="E322">Quantity!C323</f>
        <v>0</v>
      </c>
      <c r="F322" s="25" cm="1">
        <f t="array" ref="F322">CA!C323</f>
        <v>0</v>
      </c>
      <c r="G322" s="26" cm="1">
        <f t="array" aca="1" ref="G322" ca="1">SUMIFS(Quantity!$C323:$AH323,Quantity!$C$7:$AH$7,H$6,Quantity!$C$8:$AH$8,TRUE)</f>
        <v>0</v>
      </c>
      <c r="H322" s="24" cm="1">
        <f t="array" aca="1" ref="H322" ca="1">SUMIFS(CA!$C323:$AQ323,CA!$C$7:$AQ$7,H$6,CA!$C$8:$AQ$8,TRUE)</f>
        <v>0</v>
      </c>
      <c r="I322" s="23" cm="1">
        <f t="array" aca="1" ref="I322" ca="1">SUMIFS(Quantity!$C323:$AH323,Quantity!$C$7:$AH$7,J$6,Quantity!$C$8:$AH$8,TRUE)</f>
        <v>0</v>
      </c>
      <c r="J322" s="25" cm="1">
        <f t="array" aca="1" ref="J322" ca="1">SUMIFS(CA!$C323:$AQ323,CA!$C$7:$AQ$7,J$6,CA!$C$8:$AQ$8,TRUE)</f>
        <v>0</v>
      </c>
      <c r="K322" s="26" t="str" cm="1">
        <f t="array" ref="K322">IF(SUM(Quantity!O323:Z323)=0,"",SUM(Quantity!O323:Z323))</f>
        <v/>
      </c>
      <c r="L322" s="24" t="str" cm="1">
        <f t="array" ref="L322">IF(SUM(CA!O323:Z323)=0,"",SUM(CA!O323:Z323))</f>
        <v/>
      </c>
      <c r="M322" s="23" t="str" cm="1">
        <f t="array" ref="M322">IF(SUM(Quantity!C323:N323)=0,"",SUM(Quantity!C323:N323))</f>
        <v/>
      </c>
      <c r="N322" s="25" t="str" cm="1">
        <f t="array" ref="N322">IF(SUM(CA!C323:N323)=0,"",SUM(CA!C323:N323))</f>
        <v/>
      </c>
    </row>
    <row r="323" spans="1:14" x14ac:dyDescent="0.25">
      <c r="A323" s="1"/>
      <c r="B323" s="22" cm="1">
        <f t="array" ref="B323">Quantity!B324</f>
        <v>0</v>
      </c>
      <c r="C323" s="23" cm="1">
        <f t="array" ref="C323">Quantity!O324</f>
        <v>0</v>
      </c>
      <c r="D323" s="24" cm="1">
        <f t="array" ref="D323">CA!O324</f>
        <v>0</v>
      </c>
      <c r="E323" s="23" cm="1">
        <f t="array" ref="E323">Quantity!C324</f>
        <v>0</v>
      </c>
      <c r="F323" s="25" cm="1">
        <f t="array" ref="F323">CA!C324</f>
        <v>0</v>
      </c>
      <c r="G323" s="26" cm="1">
        <f t="array" aca="1" ref="G323" ca="1">SUMIFS(Quantity!$C324:$AH324,Quantity!$C$7:$AH$7,H$6,Quantity!$C$8:$AH$8,TRUE)</f>
        <v>0</v>
      </c>
      <c r="H323" s="24" cm="1">
        <f t="array" aca="1" ref="H323" ca="1">SUMIFS(CA!$C324:$AQ324,CA!$C$7:$AQ$7,H$6,CA!$C$8:$AQ$8,TRUE)</f>
        <v>0</v>
      </c>
      <c r="I323" s="23" cm="1">
        <f t="array" aca="1" ref="I323" ca="1">SUMIFS(Quantity!$C324:$AH324,Quantity!$C$7:$AH$7,J$6,Quantity!$C$8:$AH$8,TRUE)</f>
        <v>0</v>
      </c>
      <c r="J323" s="25" cm="1">
        <f t="array" aca="1" ref="J323" ca="1">SUMIFS(CA!$C324:$AQ324,CA!$C$7:$AQ$7,J$6,CA!$C$8:$AQ$8,TRUE)</f>
        <v>0</v>
      </c>
      <c r="K323" s="26" t="str" cm="1">
        <f t="array" ref="K323">IF(SUM(Quantity!O324:Z324)=0,"",SUM(Quantity!O324:Z324))</f>
        <v/>
      </c>
      <c r="L323" s="24" t="str" cm="1">
        <f t="array" ref="L323">IF(SUM(CA!O324:Z324)=0,"",SUM(CA!O324:Z324))</f>
        <v/>
      </c>
      <c r="M323" s="23" t="str" cm="1">
        <f t="array" ref="M323">IF(SUM(Quantity!C324:N324)=0,"",SUM(Quantity!C324:N324))</f>
        <v/>
      </c>
      <c r="N323" s="25" t="str" cm="1">
        <f t="array" ref="N323">IF(SUM(CA!C324:N324)=0,"",SUM(CA!C324:N324))</f>
        <v/>
      </c>
    </row>
    <row r="324" spans="1:14" x14ac:dyDescent="0.25">
      <c r="A324" s="1"/>
      <c r="B324" s="22" cm="1">
        <f t="array" ref="B324">Quantity!B325</f>
        <v>0</v>
      </c>
      <c r="C324" s="23" cm="1">
        <f t="array" ref="C324">Quantity!O325</f>
        <v>0</v>
      </c>
      <c r="D324" s="24" cm="1">
        <f t="array" ref="D324">CA!O325</f>
        <v>0</v>
      </c>
      <c r="E324" s="23" cm="1">
        <f t="array" ref="E324">Quantity!C325</f>
        <v>0</v>
      </c>
      <c r="F324" s="25" cm="1">
        <f t="array" ref="F324">CA!C325</f>
        <v>0</v>
      </c>
      <c r="G324" s="26" cm="1">
        <f t="array" aca="1" ref="G324" ca="1">SUMIFS(Quantity!$C325:$AH325,Quantity!$C$7:$AH$7,H$6,Quantity!$C$8:$AH$8,TRUE)</f>
        <v>0</v>
      </c>
      <c r="H324" s="24" cm="1">
        <f t="array" aca="1" ref="H324" ca="1">SUMIFS(CA!$C325:$AQ325,CA!$C$7:$AQ$7,H$6,CA!$C$8:$AQ$8,TRUE)</f>
        <v>0</v>
      </c>
      <c r="I324" s="23" cm="1">
        <f t="array" aca="1" ref="I324" ca="1">SUMIFS(Quantity!$C325:$AH325,Quantity!$C$7:$AH$7,J$6,Quantity!$C$8:$AH$8,TRUE)</f>
        <v>0</v>
      </c>
      <c r="J324" s="25" cm="1">
        <f t="array" aca="1" ref="J324" ca="1">SUMIFS(CA!$C325:$AQ325,CA!$C$7:$AQ$7,J$6,CA!$C$8:$AQ$8,TRUE)</f>
        <v>0</v>
      </c>
      <c r="K324" s="26" t="str" cm="1">
        <f t="array" ref="K324">IF(SUM(Quantity!O325:Z325)=0,"",SUM(Quantity!O325:Z325))</f>
        <v/>
      </c>
      <c r="L324" s="24" t="str" cm="1">
        <f t="array" ref="L324">IF(SUM(CA!O325:Z325)=0,"",SUM(CA!O325:Z325))</f>
        <v/>
      </c>
      <c r="M324" s="23" t="str" cm="1">
        <f t="array" ref="M324">IF(SUM(Quantity!C325:N325)=0,"",SUM(Quantity!C325:N325))</f>
        <v/>
      </c>
      <c r="N324" s="25" t="str" cm="1">
        <f t="array" ref="N324">IF(SUM(CA!C325:N325)=0,"",SUM(CA!C325:N325))</f>
        <v/>
      </c>
    </row>
    <row r="325" spans="1:14" x14ac:dyDescent="0.25">
      <c r="A325" s="1"/>
      <c r="B325" s="22" cm="1">
        <f t="array" ref="B325">Quantity!B326</f>
        <v>0</v>
      </c>
      <c r="C325" s="23" cm="1">
        <f t="array" ref="C325">Quantity!O326</f>
        <v>0</v>
      </c>
      <c r="D325" s="24" cm="1">
        <f t="array" ref="D325">CA!O326</f>
        <v>0</v>
      </c>
      <c r="E325" s="23" cm="1">
        <f t="array" ref="E325">Quantity!C326</f>
        <v>0</v>
      </c>
      <c r="F325" s="25" cm="1">
        <f t="array" ref="F325">CA!C326</f>
        <v>0</v>
      </c>
      <c r="G325" s="26" cm="1">
        <f t="array" aca="1" ref="G325" ca="1">SUMIFS(Quantity!$C326:$AH326,Quantity!$C$7:$AH$7,H$6,Quantity!$C$8:$AH$8,TRUE)</f>
        <v>0</v>
      </c>
      <c r="H325" s="24" cm="1">
        <f t="array" aca="1" ref="H325" ca="1">SUMIFS(CA!$C326:$AQ326,CA!$C$7:$AQ$7,H$6,CA!$C$8:$AQ$8,TRUE)</f>
        <v>0</v>
      </c>
      <c r="I325" s="23" cm="1">
        <f t="array" aca="1" ref="I325" ca="1">SUMIFS(Quantity!$C326:$AH326,Quantity!$C$7:$AH$7,J$6,Quantity!$C$8:$AH$8,TRUE)</f>
        <v>0</v>
      </c>
      <c r="J325" s="25" cm="1">
        <f t="array" aca="1" ref="J325" ca="1">SUMIFS(CA!$C326:$AQ326,CA!$C$7:$AQ$7,J$6,CA!$C$8:$AQ$8,TRUE)</f>
        <v>0</v>
      </c>
      <c r="K325" s="26" t="str" cm="1">
        <f t="array" ref="K325">IF(SUM(Quantity!O326:Z326)=0,"",SUM(Quantity!O326:Z326))</f>
        <v/>
      </c>
      <c r="L325" s="24" t="str" cm="1">
        <f t="array" ref="L325">IF(SUM(CA!O326:Z326)=0,"",SUM(CA!O326:Z326))</f>
        <v/>
      </c>
      <c r="M325" s="23" t="str" cm="1">
        <f t="array" ref="M325">IF(SUM(Quantity!C326:N326)=0,"",SUM(Quantity!C326:N326))</f>
        <v/>
      </c>
      <c r="N325" s="25" t="str" cm="1">
        <f t="array" ref="N325">IF(SUM(CA!C326:N326)=0,"",SUM(CA!C326:N326))</f>
        <v/>
      </c>
    </row>
    <row r="326" spans="1:14" x14ac:dyDescent="0.25">
      <c r="A326" s="1"/>
      <c r="B326" s="22" cm="1">
        <f t="array" ref="B326">Quantity!B327</f>
        <v>0</v>
      </c>
      <c r="C326" s="23" cm="1">
        <f t="array" ref="C326">Quantity!O327</f>
        <v>0</v>
      </c>
      <c r="D326" s="24" cm="1">
        <f t="array" ref="D326">CA!O327</f>
        <v>0</v>
      </c>
      <c r="E326" s="23" cm="1">
        <f t="array" ref="E326">Quantity!C327</f>
        <v>0</v>
      </c>
      <c r="F326" s="25" cm="1">
        <f t="array" ref="F326">CA!C327</f>
        <v>0</v>
      </c>
      <c r="G326" s="26" cm="1">
        <f t="array" aca="1" ref="G326" ca="1">SUMIFS(Quantity!$C327:$AH327,Quantity!$C$7:$AH$7,H$6,Quantity!$C$8:$AH$8,TRUE)</f>
        <v>0</v>
      </c>
      <c r="H326" s="24" cm="1">
        <f t="array" aca="1" ref="H326" ca="1">SUMIFS(CA!$C327:$AQ327,CA!$C$7:$AQ$7,H$6,CA!$C$8:$AQ$8,TRUE)</f>
        <v>0</v>
      </c>
      <c r="I326" s="23" cm="1">
        <f t="array" aca="1" ref="I326" ca="1">SUMIFS(Quantity!$C327:$AH327,Quantity!$C$7:$AH$7,J$6,Quantity!$C$8:$AH$8,TRUE)</f>
        <v>0</v>
      </c>
      <c r="J326" s="25" cm="1">
        <f t="array" aca="1" ref="J326" ca="1">SUMIFS(CA!$C327:$AQ327,CA!$C$7:$AQ$7,J$6,CA!$C$8:$AQ$8,TRUE)</f>
        <v>0</v>
      </c>
      <c r="K326" s="26" t="str" cm="1">
        <f t="array" ref="K326">IF(SUM(Quantity!O327:Z327)=0,"",SUM(Quantity!O327:Z327))</f>
        <v/>
      </c>
      <c r="L326" s="24" t="str" cm="1">
        <f t="array" ref="L326">IF(SUM(CA!O327:Z327)=0,"",SUM(CA!O327:Z327))</f>
        <v/>
      </c>
      <c r="M326" s="23" t="str" cm="1">
        <f t="array" ref="M326">IF(SUM(Quantity!C327:N327)=0,"",SUM(Quantity!C327:N327))</f>
        <v/>
      </c>
      <c r="N326" s="25" t="str" cm="1">
        <f t="array" ref="N326">IF(SUM(CA!C327:N327)=0,"",SUM(CA!C327:N327))</f>
        <v/>
      </c>
    </row>
    <row r="327" spans="1:14" x14ac:dyDescent="0.25">
      <c r="A327" s="1"/>
      <c r="B327" s="22" cm="1">
        <f t="array" ref="B327">Quantity!B328</f>
        <v>0</v>
      </c>
      <c r="C327" s="23" cm="1">
        <f t="array" ref="C327">Quantity!O328</f>
        <v>0</v>
      </c>
      <c r="D327" s="24" cm="1">
        <f t="array" ref="D327">CA!O328</f>
        <v>0</v>
      </c>
      <c r="E327" s="23" cm="1">
        <f t="array" ref="E327">Quantity!C328</f>
        <v>0</v>
      </c>
      <c r="F327" s="25" cm="1">
        <f t="array" ref="F327">CA!C328</f>
        <v>0</v>
      </c>
      <c r="G327" s="26" cm="1">
        <f t="array" aca="1" ref="G327" ca="1">SUMIFS(Quantity!$C328:$AH328,Quantity!$C$7:$AH$7,H$6,Quantity!$C$8:$AH$8,TRUE)</f>
        <v>0</v>
      </c>
      <c r="H327" s="24" cm="1">
        <f t="array" aca="1" ref="H327" ca="1">SUMIFS(CA!$C328:$AQ328,CA!$C$7:$AQ$7,H$6,CA!$C$8:$AQ$8,TRUE)</f>
        <v>0</v>
      </c>
      <c r="I327" s="23" cm="1">
        <f t="array" aca="1" ref="I327" ca="1">SUMIFS(Quantity!$C328:$AH328,Quantity!$C$7:$AH$7,J$6,Quantity!$C$8:$AH$8,TRUE)</f>
        <v>0</v>
      </c>
      <c r="J327" s="25" cm="1">
        <f t="array" aca="1" ref="J327" ca="1">SUMIFS(CA!$C328:$AQ328,CA!$C$7:$AQ$7,J$6,CA!$C$8:$AQ$8,TRUE)</f>
        <v>0</v>
      </c>
      <c r="K327" s="26" t="str" cm="1">
        <f t="array" ref="K327">IF(SUM(Quantity!O328:Z328)=0,"",SUM(Quantity!O328:Z328))</f>
        <v/>
      </c>
      <c r="L327" s="24" t="str" cm="1">
        <f t="array" ref="L327">IF(SUM(CA!O328:Z328)=0,"",SUM(CA!O328:Z328))</f>
        <v/>
      </c>
      <c r="M327" s="23" t="str" cm="1">
        <f t="array" ref="M327">IF(SUM(Quantity!C328:N328)=0,"",SUM(Quantity!C328:N328))</f>
        <v/>
      </c>
      <c r="N327" s="25" t="str" cm="1">
        <f t="array" ref="N327">IF(SUM(CA!C328:N328)=0,"",SUM(CA!C328:N328))</f>
        <v/>
      </c>
    </row>
    <row r="328" spans="1:14" x14ac:dyDescent="0.25">
      <c r="A328" s="1"/>
      <c r="B328" s="22" cm="1">
        <f t="array" ref="B328">Quantity!B329</f>
        <v>0</v>
      </c>
      <c r="C328" s="23" cm="1">
        <f t="array" ref="C328">Quantity!O329</f>
        <v>0</v>
      </c>
      <c r="D328" s="24" cm="1">
        <f t="array" ref="D328">CA!O329</f>
        <v>0</v>
      </c>
      <c r="E328" s="23" cm="1">
        <f t="array" ref="E328">Quantity!C329</f>
        <v>0</v>
      </c>
      <c r="F328" s="25" cm="1">
        <f t="array" ref="F328">CA!C329</f>
        <v>0</v>
      </c>
      <c r="G328" s="26" cm="1">
        <f t="array" aca="1" ref="G328" ca="1">SUMIFS(Quantity!$C329:$AH329,Quantity!$C$7:$AH$7,H$6,Quantity!$C$8:$AH$8,TRUE)</f>
        <v>0</v>
      </c>
      <c r="H328" s="24" cm="1">
        <f t="array" aca="1" ref="H328" ca="1">SUMIFS(CA!$C329:$AQ329,CA!$C$7:$AQ$7,H$6,CA!$C$8:$AQ$8,TRUE)</f>
        <v>0</v>
      </c>
      <c r="I328" s="23" cm="1">
        <f t="array" aca="1" ref="I328" ca="1">SUMIFS(Quantity!$C329:$AH329,Quantity!$C$7:$AH$7,J$6,Quantity!$C$8:$AH$8,TRUE)</f>
        <v>0</v>
      </c>
      <c r="J328" s="25" cm="1">
        <f t="array" aca="1" ref="J328" ca="1">SUMIFS(CA!$C329:$AQ329,CA!$C$7:$AQ$7,J$6,CA!$C$8:$AQ$8,TRUE)</f>
        <v>0</v>
      </c>
      <c r="K328" s="26" t="str" cm="1">
        <f t="array" ref="K328">IF(SUM(Quantity!O329:Z329)=0,"",SUM(Quantity!O329:Z329))</f>
        <v/>
      </c>
      <c r="L328" s="24" t="str" cm="1">
        <f t="array" ref="L328">IF(SUM(CA!O329:Z329)=0,"",SUM(CA!O329:Z329))</f>
        <v/>
      </c>
      <c r="M328" s="23" t="str" cm="1">
        <f t="array" ref="M328">IF(SUM(Quantity!C329:N329)=0,"",SUM(Quantity!C329:N329))</f>
        <v/>
      </c>
      <c r="N328" s="25" t="str" cm="1">
        <f t="array" ref="N328">IF(SUM(CA!C329:N329)=0,"",SUM(CA!C329:N329))</f>
        <v/>
      </c>
    </row>
    <row r="329" spans="1:14" x14ac:dyDescent="0.25">
      <c r="A329" s="1"/>
      <c r="B329" s="22" cm="1">
        <f t="array" ref="B329">Quantity!B330</f>
        <v>0</v>
      </c>
      <c r="C329" s="23" cm="1">
        <f t="array" ref="C329">Quantity!O330</f>
        <v>0</v>
      </c>
      <c r="D329" s="24" cm="1">
        <f t="array" ref="D329">CA!O330</f>
        <v>0</v>
      </c>
      <c r="E329" s="23" cm="1">
        <f t="array" ref="E329">Quantity!C330</f>
        <v>0</v>
      </c>
      <c r="F329" s="25" cm="1">
        <f t="array" ref="F329">CA!C330</f>
        <v>0</v>
      </c>
      <c r="G329" s="26" cm="1">
        <f t="array" aca="1" ref="G329" ca="1">SUMIFS(Quantity!$C330:$AH330,Quantity!$C$7:$AH$7,H$6,Quantity!$C$8:$AH$8,TRUE)</f>
        <v>0</v>
      </c>
      <c r="H329" s="24" cm="1">
        <f t="array" aca="1" ref="H329" ca="1">SUMIFS(CA!$C330:$AQ330,CA!$C$7:$AQ$7,H$6,CA!$C$8:$AQ$8,TRUE)</f>
        <v>0</v>
      </c>
      <c r="I329" s="23" cm="1">
        <f t="array" aca="1" ref="I329" ca="1">SUMIFS(Quantity!$C330:$AH330,Quantity!$C$7:$AH$7,J$6,Quantity!$C$8:$AH$8,TRUE)</f>
        <v>0</v>
      </c>
      <c r="J329" s="25" cm="1">
        <f t="array" aca="1" ref="J329" ca="1">SUMIFS(CA!$C330:$AQ330,CA!$C$7:$AQ$7,J$6,CA!$C$8:$AQ$8,TRUE)</f>
        <v>0</v>
      </c>
      <c r="K329" s="26" t="str" cm="1">
        <f t="array" ref="K329">IF(SUM(Quantity!O330:Z330)=0,"",SUM(Quantity!O330:Z330))</f>
        <v/>
      </c>
      <c r="L329" s="24" t="str" cm="1">
        <f t="array" ref="L329">IF(SUM(CA!O330:Z330)=0,"",SUM(CA!O330:Z330))</f>
        <v/>
      </c>
      <c r="M329" s="23" t="str" cm="1">
        <f t="array" ref="M329">IF(SUM(Quantity!C330:N330)=0,"",SUM(Quantity!C330:N330))</f>
        <v/>
      </c>
      <c r="N329" s="25" t="str" cm="1">
        <f t="array" ref="N329">IF(SUM(CA!C330:N330)=0,"",SUM(CA!C330:N330))</f>
        <v/>
      </c>
    </row>
    <row r="330" spans="1:14" x14ac:dyDescent="0.25">
      <c r="A330" s="1"/>
      <c r="B330" s="22" cm="1">
        <f t="array" ref="B330">Quantity!B331</f>
        <v>0</v>
      </c>
      <c r="C330" s="23" cm="1">
        <f t="array" ref="C330">Quantity!O331</f>
        <v>0</v>
      </c>
      <c r="D330" s="24" cm="1">
        <f t="array" ref="D330">CA!O331</f>
        <v>0</v>
      </c>
      <c r="E330" s="23" cm="1">
        <f t="array" ref="E330">Quantity!C331</f>
        <v>0</v>
      </c>
      <c r="F330" s="25" cm="1">
        <f t="array" ref="F330">CA!C331</f>
        <v>0</v>
      </c>
      <c r="G330" s="26" cm="1">
        <f t="array" aca="1" ref="G330" ca="1">SUMIFS(Quantity!$C331:$AH331,Quantity!$C$7:$AH$7,H$6,Quantity!$C$8:$AH$8,TRUE)</f>
        <v>0</v>
      </c>
      <c r="H330" s="24" cm="1">
        <f t="array" aca="1" ref="H330" ca="1">SUMIFS(CA!$C331:$AQ331,CA!$C$7:$AQ$7,H$6,CA!$C$8:$AQ$8,TRUE)</f>
        <v>0</v>
      </c>
      <c r="I330" s="23" cm="1">
        <f t="array" aca="1" ref="I330" ca="1">SUMIFS(Quantity!$C331:$AH331,Quantity!$C$7:$AH$7,J$6,Quantity!$C$8:$AH$8,TRUE)</f>
        <v>0</v>
      </c>
      <c r="J330" s="25" cm="1">
        <f t="array" aca="1" ref="J330" ca="1">SUMIFS(CA!$C331:$AQ331,CA!$C$7:$AQ$7,J$6,CA!$C$8:$AQ$8,TRUE)</f>
        <v>0</v>
      </c>
      <c r="K330" s="26" t="str" cm="1">
        <f t="array" ref="K330">IF(SUM(Quantity!O331:Z331)=0,"",SUM(Quantity!O331:Z331))</f>
        <v/>
      </c>
      <c r="L330" s="24" t="str" cm="1">
        <f t="array" ref="L330">IF(SUM(CA!O331:Z331)=0,"",SUM(CA!O331:Z331))</f>
        <v/>
      </c>
      <c r="M330" s="23" t="str" cm="1">
        <f t="array" ref="M330">IF(SUM(Quantity!C331:N331)=0,"",SUM(Quantity!C331:N331))</f>
        <v/>
      </c>
      <c r="N330" s="25" t="str" cm="1">
        <f t="array" ref="N330">IF(SUM(CA!C331:N331)=0,"",SUM(CA!C331:N331))</f>
        <v/>
      </c>
    </row>
    <row r="331" spans="1:14" x14ac:dyDescent="0.25">
      <c r="A331" s="1"/>
      <c r="B331" s="22" cm="1">
        <f t="array" ref="B331">Quantity!B332</f>
        <v>0</v>
      </c>
      <c r="C331" s="23" cm="1">
        <f t="array" ref="C331">Quantity!O332</f>
        <v>0</v>
      </c>
      <c r="D331" s="24" cm="1">
        <f t="array" ref="D331">CA!O332</f>
        <v>0</v>
      </c>
      <c r="E331" s="23" cm="1">
        <f t="array" ref="E331">Quantity!C332</f>
        <v>0</v>
      </c>
      <c r="F331" s="25" cm="1">
        <f t="array" ref="F331">CA!C332</f>
        <v>0</v>
      </c>
      <c r="G331" s="26" cm="1">
        <f t="array" aca="1" ref="G331" ca="1">SUMIFS(Quantity!$C332:$AH332,Quantity!$C$7:$AH$7,H$6,Quantity!$C$8:$AH$8,TRUE)</f>
        <v>0</v>
      </c>
      <c r="H331" s="24" cm="1">
        <f t="array" aca="1" ref="H331" ca="1">SUMIFS(CA!$C332:$AQ332,CA!$C$7:$AQ$7,H$6,CA!$C$8:$AQ$8,TRUE)</f>
        <v>0</v>
      </c>
      <c r="I331" s="23" cm="1">
        <f t="array" aca="1" ref="I331" ca="1">SUMIFS(Quantity!$C332:$AH332,Quantity!$C$7:$AH$7,J$6,Quantity!$C$8:$AH$8,TRUE)</f>
        <v>0</v>
      </c>
      <c r="J331" s="25" cm="1">
        <f t="array" aca="1" ref="J331" ca="1">SUMIFS(CA!$C332:$AQ332,CA!$C$7:$AQ$7,J$6,CA!$C$8:$AQ$8,TRUE)</f>
        <v>0</v>
      </c>
      <c r="K331" s="26" t="str" cm="1">
        <f t="array" ref="K331">IF(SUM(Quantity!O332:Z332)=0,"",SUM(Quantity!O332:Z332))</f>
        <v/>
      </c>
      <c r="L331" s="24" t="str" cm="1">
        <f t="array" ref="L331">IF(SUM(CA!O332:Z332)=0,"",SUM(CA!O332:Z332))</f>
        <v/>
      </c>
      <c r="M331" s="23" t="str" cm="1">
        <f t="array" ref="M331">IF(SUM(Quantity!C332:N332)=0,"",SUM(Quantity!C332:N332))</f>
        <v/>
      </c>
      <c r="N331" s="25" t="str" cm="1">
        <f t="array" ref="N331">IF(SUM(CA!C332:N332)=0,"",SUM(CA!C332:N332))</f>
        <v/>
      </c>
    </row>
    <row r="332" spans="1:14" x14ac:dyDescent="0.25">
      <c r="A332" s="1"/>
      <c r="B332" s="22" cm="1">
        <f t="array" ref="B332">Quantity!B333</f>
        <v>0</v>
      </c>
      <c r="C332" s="23" cm="1">
        <f t="array" ref="C332">Quantity!O333</f>
        <v>0</v>
      </c>
      <c r="D332" s="24" cm="1">
        <f t="array" ref="D332">CA!O333</f>
        <v>0</v>
      </c>
      <c r="E332" s="23" cm="1">
        <f t="array" ref="E332">Quantity!C333</f>
        <v>0</v>
      </c>
      <c r="F332" s="25" cm="1">
        <f t="array" ref="F332">CA!C333</f>
        <v>0</v>
      </c>
      <c r="G332" s="26" cm="1">
        <f t="array" aca="1" ref="G332" ca="1">SUMIFS(Quantity!$C333:$AH333,Quantity!$C$7:$AH$7,H$6,Quantity!$C$8:$AH$8,TRUE)</f>
        <v>0</v>
      </c>
      <c r="H332" s="24" cm="1">
        <f t="array" aca="1" ref="H332" ca="1">SUMIFS(CA!$C333:$AQ333,CA!$C$7:$AQ$7,H$6,CA!$C$8:$AQ$8,TRUE)</f>
        <v>0</v>
      </c>
      <c r="I332" s="23" cm="1">
        <f t="array" aca="1" ref="I332" ca="1">SUMIFS(Quantity!$C333:$AH333,Quantity!$C$7:$AH$7,J$6,Quantity!$C$8:$AH$8,TRUE)</f>
        <v>0</v>
      </c>
      <c r="J332" s="25" cm="1">
        <f t="array" aca="1" ref="J332" ca="1">SUMIFS(CA!$C333:$AQ333,CA!$C$7:$AQ$7,J$6,CA!$C$8:$AQ$8,TRUE)</f>
        <v>0</v>
      </c>
      <c r="K332" s="26" t="str" cm="1">
        <f t="array" ref="K332">IF(SUM(Quantity!O333:Z333)=0,"",SUM(Quantity!O333:Z333))</f>
        <v/>
      </c>
      <c r="L332" s="24" t="str" cm="1">
        <f t="array" ref="L332">IF(SUM(CA!O333:Z333)=0,"",SUM(CA!O333:Z333))</f>
        <v/>
      </c>
      <c r="M332" s="23" t="str" cm="1">
        <f t="array" ref="M332">IF(SUM(Quantity!C333:N333)=0,"",SUM(Quantity!C333:N333))</f>
        <v/>
      </c>
      <c r="N332" s="25" t="str" cm="1">
        <f t="array" ref="N332">IF(SUM(CA!C333:N333)=0,"",SUM(CA!C333:N333))</f>
        <v/>
      </c>
    </row>
    <row r="333" spans="1:14" x14ac:dyDescent="0.25">
      <c r="A333" s="1"/>
      <c r="B333" s="22" cm="1">
        <f t="array" ref="B333">Quantity!B334</f>
        <v>0</v>
      </c>
      <c r="C333" s="23" cm="1">
        <f t="array" ref="C333">Quantity!O334</f>
        <v>0</v>
      </c>
      <c r="D333" s="24" cm="1">
        <f t="array" ref="D333">CA!O334</f>
        <v>0</v>
      </c>
      <c r="E333" s="23" cm="1">
        <f t="array" ref="E333">Quantity!C334</f>
        <v>0</v>
      </c>
      <c r="F333" s="25" cm="1">
        <f t="array" ref="F333">CA!C334</f>
        <v>0</v>
      </c>
      <c r="G333" s="26" cm="1">
        <f t="array" aca="1" ref="G333" ca="1">SUMIFS(Quantity!$C334:$AH334,Quantity!$C$7:$AH$7,H$6,Quantity!$C$8:$AH$8,TRUE)</f>
        <v>0</v>
      </c>
      <c r="H333" s="24" cm="1">
        <f t="array" aca="1" ref="H333" ca="1">SUMIFS(CA!$C334:$AQ334,CA!$C$7:$AQ$7,H$6,CA!$C$8:$AQ$8,TRUE)</f>
        <v>0</v>
      </c>
      <c r="I333" s="23" cm="1">
        <f t="array" aca="1" ref="I333" ca="1">SUMIFS(Quantity!$C334:$AH334,Quantity!$C$7:$AH$7,J$6,Quantity!$C$8:$AH$8,TRUE)</f>
        <v>0</v>
      </c>
      <c r="J333" s="25" cm="1">
        <f t="array" aca="1" ref="J333" ca="1">SUMIFS(CA!$C334:$AQ334,CA!$C$7:$AQ$7,J$6,CA!$C$8:$AQ$8,TRUE)</f>
        <v>0</v>
      </c>
      <c r="K333" s="26" t="str" cm="1">
        <f t="array" ref="K333">IF(SUM(Quantity!O334:Z334)=0,"",SUM(Quantity!O334:Z334))</f>
        <v/>
      </c>
      <c r="L333" s="24" t="str" cm="1">
        <f t="array" ref="L333">IF(SUM(CA!O334:Z334)=0,"",SUM(CA!O334:Z334))</f>
        <v/>
      </c>
      <c r="M333" s="23" t="str" cm="1">
        <f t="array" ref="M333">IF(SUM(Quantity!C334:N334)=0,"",SUM(Quantity!C334:N334))</f>
        <v/>
      </c>
      <c r="N333" s="25" t="str" cm="1">
        <f t="array" ref="N333">IF(SUM(CA!C334:N334)=0,"",SUM(CA!C334:N334))</f>
        <v/>
      </c>
    </row>
    <row r="334" spans="1:14" x14ac:dyDescent="0.25">
      <c r="A334" s="1"/>
      <c r="B334" s="22" cm="1">
        <f t="array" ref="B334">Quantity!B335</f>
        <v>0</v>
      </c>
      <c r="C334" s="23" cm="1">
        <f t="array" ref="C334">Quantity!O335</f>
        <v>0</v>
      </c>
      <c r="D334" s="24" cm="1">
        <f t="array" ref="D334">CA!O335</f>
        <v>0</v>
      </c>
      <c r="E334" s="23" cm="1">
        <f t="array" ref="E334">Quantity!C335</f>
        <v>0</v>
      </c>
      <c r="F334" s="25" cm="1">
        <f t="array" ref="F334">CA!C335</f>
        <v>0</v>
      </c>
      <c r="G334" s="26" cm="1">
        <f t="array" aca="1" ref="G334" ca="1">SUMIFS(Quantity!$C335:$AH335,Quantity!$C$7:$AH$7,H$6,Quantity!$C$8:$AH$8,TRUE)</f>
        <v>0</v>
      </c>
      <c r="H334" s="24" cm="1">
        <f t="array" aca="1" ref="H334" ca="1">SUMIFS(CA!$C335:$AQ335,CA!$C$7:$AQ$7,H$6,CA!$C$8:$AQ$8,TRUE)</f>
        <v>0</v>
      </c>
      <c r="I334" s="23" cm="1">
        <f t="array" aca="1" ref="I334" ca="1">SUMIFS(Quantity!$C335:$AH335,Quantity!$C$7:$AH$7,J$6,Quantity!$C$8:$AH$8,TRUE)</f>
        <v>0</v>
      </c>
      <c r="J334" s="25" cm="1">
        <f t="array" aca="1" ref="J334" ca="1">SUMIFS(CA!$C335:$AQ335,CA!$C$7:$AQ$7,J$6,CA!$C$8:$AQ$8,TRUE)</f>
        <v>0</v>
      </c>
      <c r="K334" s="26" t="str" cm="1">
        <f t="array" ref="K334">IF(SUM(Quantity!O335:Z335)=0,"",SUM(Quantity!O335:Z335))</f>
        <v/>
      </c>
      <c r="L334" s="24" t="str" cm="1">
        <f t="array" ref="L334">IF(SUM(CA!O335:Z335)=0,"",SUM(CA!O335:Z335))</f>
        <v/>
      </c>
      <c r="M334" s="23" t="str" cm="1">
        <f t="array" ref="M334">IF(SUM(Quantity!C335:N335)=0,"",SUM(Quantity!C335:N335))</f>
        <v/>
      </c>
      <c r="N334" s="25" t="str" cm="1">
        <f t="array" ref="N334">IF(SUM(CA!C335:N335)=0,"",SUM(CA!C335:N335))</f>
        <v/>
      </c>
    </row>
    <row r="335" spans="1:14" x14ac:dyDescent="0.25">
      <c r="A335" s="1"/>
      <c r="B335" s="22" cm="1">
        <f t="array" ref="B335">Quantity!B336</f>
        <v>0</v>
      </c>
      <c r="C335" s="23" cm="1">
        <f t="array" ref="C335">Quantity!O336</f>
        <v>0</v>
      </c>
      <c r="D335" s="24" cm="1">
        <f t="array" ref="D335">CA!O336</f>
        <v>0</v>
      </c>
      <c r="E335" s="23" cm="1">
        <f t="array" ref="E335">Quantity!C336</f>
        <v>0</v>
      </c>
      <c r="F335" s="25" cm="1">
        <f t="array" ref="F335">CA!C336</f>
        <v>0</v>
      </c>
      <c r="G335" s="26" cm="1">
        <f t="array" aca="1" ref="G335" ca="1">SUMIFS(Quantity!$C336:$AH336,Quantity!$C$7:$AH$7,H$6,Quantity!$C$8:$AH$8,TRUE)</f>
        <v>0</v>
      </c>
      <c r="H335" s="24" cm="1">
        <f t="array" aca="1" ref="H335" ca="1">SUMIFS(CA!$C336:$AQ336,CA!$C$7:$AQ$7,H$6,CA!$C$8:$AQ$8,TRUE)</f>
        <v>0</v>
      </c>
      <c r="I335" s="23" cm="1">
        <f t="array" aca="1" ref="I335" ca="1">SUMIFS(Quantity!$C336:$AH336,Quantity!$C$7:$AH$7,J$6,Quantity!$C$8:$AH$8,TRUE)</f>
        <v>0</v>
      </c>
      <c r="J335" s="25" cm="1">
        <f t="array" aca="1" ref="J335" ca="1">SUMIFS(CA!$C336:$AQ336,CA!$C$7:$AQ$7,J$6,CA!$C$8:$AQ$8,TRUE)</f>
        <v>0</v>
      </c>
      <c r="K335" s="26" t="str" cm="1">
        <f t="array" ref="K335">IF(SUM(Quantity!O336:Z336)=0,"",SUM(Quantity!O336:Z336))</f>
        <v/>
      </c>
      <c r="L335" s="24" t="str" cm="1">
        <f t="array" ref="L335">IF(SUM(CA!O336:Z336)=0,"",SUM(CA!O336:Z336))</f>
        <v/>
      </c>
      <c r="M335" s="23" t="str" cm="1">
        <f t="array" ref="M335">IF(SUM(Quantity!C336:N336)=0,"",SUM(Quantity!C336:N336))</f>
        <v/>
      </c>
      <c r="N335" s="25" t="str" cm="1">
        <f t="array" ref="N335">IF(SUM(CA!C336:N336)=0,"",SUM(CA!C336:N336))</f>
        <v/>
      </c>
    </row>
    <row r="336" spans="1:14" x14ac:dyDescent="0.25">
      <c r="A336" s="1"/>
      <c r="B336" s="22" cm="1">
        <f t="array" ref="B336">Quantity!B337</f>
        <v>0</v>
      </c>
      <c r="C336" s="23" cm="1">
        <f t="array" ref="C336">Quantity!O337</f>
        <v>0</v>
      </c>
      <c r="D336" s="24" cm="1">
        <f t="array" ref="D336">CA!O337</f>
        <v>0</v>
      </c>
      <c r="E336" s="23" cm="1">
        <f t="array" ref="E336">Quantity!C337</f>
        <v>0</v>
      </c>
      <c r="F336" s="25" cm="1">
        <f t="array" ref="F336">CA!C337</f>
        <v>0</v>
      </c>
      <c r="G336" s="26" cm="1">
        <f t="array" aca="1" ref="G336" ca="1">SUMIFS(Quantity!$C337:$AH337,Quantity!$C$7:$AH$7,H$6,Quantity!$C$8:$AH$8,TRUE)</f>
        <v>0</v>
      </c>
      <c r="H336" s="24" cm="1">
        <f t="array" aca="1" ref="H336" ca="1">SUMIFS(CA!$C337:$AQ337,CA!$C$7:$AQ$7,H$6,CA!$C$8:$AQ$8,TRUE)</f>
        <v>0</v>
      </c>
      <c r="I336" s="23" cm="1">
        <f t="array" aca="1" ref="I336" ca="1">SUMIFS(Quantity!$C337:$AH337,Quantity!$C$7:$AH$7,J$6,Quantity!$C$8:$AH$8,TRUE)</f>
        <v>0</v>
      </c>
      <c r="J336" s="25" cm="1">
        <f t="array" aca="1" ref="J336" ca="1">SUMIFS(CA!$C337:$AQ337,CA!$C$7:$AQ$7,J$6,CA!$C$8:$AQ$8,TRUE)</f>
        <v>0</v>
      </c>
      <c r="K336" s="26" t="str" cm="1">
        <f t="array" ref="K336">IF(SUM(Quantity!O337:Z337)=0,"",SUM(Quantity!O337:Z337))</f>
        <v/>
      </c>
      <c r="L336" s="24" t="str" cm="1">
        <f t="array" ref="L336">IF(SUM(CA!O337:Z337)=0,"",SUM(CA!O337:Z337))</f>
        <v/>
      </c>
      <c r="M336" s="23" t="str" cm="1">
        <f t="array" ref="M336">IF(SUM(Quantity!C337:N337)=0,"",SUM(Quantity!C337:N337))</f>
        <v/>
      </c>
      <c r="N336" s="25" t="str" cm="1">
        <f t="array" ref="N336">IF(SUM(CA!C337:N337)=0,"",SUM(CA!C337:N337))</f>
        <v/>
      </c>
    </row>
    <row r="337" spans="1:14" x14ac:dyDescent="0.25">
      <c r="A337" s="1"/>
      <c r="B337" s="22" cm="1">
        <f t="array" ref="B337">Quantity!B338</f>
        <v>0</v>
      </c>
      <c r="C337" s="23" cm="1">
        <f t="array" ref="C337">Quantity!O338</f>
        <v>0</v>
      </c>
      <c r="D337" s="24" cm="1">
        <f t="array" ref="D337">CA!O338</f>
        <v>0</v>
      </c>
      <c r="E337" s="23" cm="1">
        <f t="array" ref="E337">Quantity!C338</f>
        <v>0</v>
      </c>
      <c r="F337" s="25" cm="1">
        <f t="array" ref="F337">CA!C338</f>
        <v>0</v>
      </c>
      <c r="G337" s="26" cm="1">
        <f t="array" aca="1" ref="G337" ca="1">SUMIFS(Quantity!$C338:$AH338,Quantity!$C$7:$AH$7,H$6,Quantity!$C$8:$AH$8,TRUE)</f>
        <v>0</v>
      </c>
      <c r="H337" s="24" cm="1">
        <f t="array" aca="1" ref="H337" ca="1">SUMIFS(CA!$C338:$AQ338,CA!$C$7:$AQ$7,H$6,CA!$C$8:$AQ$8,TRUE)</f>
        <v>0</v>
      </c>
      <c r="I337" s="23" cm="1">
        <f t="array" aca="1" ref="I337" ca="1">SUMIFS(Quantity!$C338:$AH338,Quantity!$C$7:$AH$7,J$6,Quantity!$C$8:$AH$8,TRUE)</f>
        <v>0</v>
      </c>
      <c r="J337" s="25" cm="1">
        <f t="array" aca="1" ref="J337" ca="1">SUMIFS(CA!$C338:$AQ338,CA!$C$7:$AQ$7,J$6,CA!$C$8:$AQ$8,TRUE)</f>
        <v>0</v>
      </c>
      <c r="K337" s="26" t="str" cm="1">
        <f t="array" ref="K337">IF(SUM(Quantity!O338:Z338)=0,"",SUM(Quantity!O338:Z338))</f>
        <v/>
      </c>
      <c r="L337" s="24" t="str" cm="1">
        <f t="array" ref="L337">IF(SUM(CA!O338:Z338)=0,"",SUM(CA!O338:Z338))</f>
        <v/>
      </c>
      <c r="M337" s="23" t="str" cm="1">
        <f t="array" ref="M337">IF(SUM(Quantity!C338:N338)=0,"",SUM(Quantity!C338:N338))</f>
        <v/>
      </c>
      <c r="N337" s="25" t="str" cm="1">
        <f t="array" ref="N337">IF(SUM(CA!C338:N338)=0,"",SUM(CA!C338:N338))</f>
        <v/>
      </c>
    </row>
    <row r="338" spans="1:14" x14ac:dyDescent="0.25">
      <c r="A338" s="1"/>
      <c r="B338" s="22" cm="1">
        <f t="array" ref="B338">Quantity!B339</f>
        <v>0</v>
      </c>
      <c r="C338" s="23" cm="1">
        <f t="array" ref="C338">Quantity!O339</f>
        <v>0</v>
      </c>
      <c r="D338" s="24" cm="1">
        <f t="array" ref="D338">CA!O339</f>
        <v>0</v>
      </c>
      <c r="E338" s="23" cm="1">
        <f t="array" ref="E338">Quantity!C339</f>
        <v>0</v>
      </c>
      <c r="F338" s="25" cm="1">
        <f t="array" ref="F338">CA!C339</f>
        <v>0</v>
      </c>
      <c r="G338" s="26" cm="1">
        <f t="array" aca="1" ref="G338" ca="1">SUMIFS(Quantity!$C339:$AH339,Quantity!$C$7:$AH$7,H$6,Quantity!$C$8:$AH$8,TRUE)</f>
        <v>0</v>
      </c>
      <c r="H338" s="24" cm="1">
        <f t="array" aca="1" ref="H338" ca="1">SUMIFS(CA!$C339:$AQ339,CA!$C$7:$AQ$7,H$6,CA!$C$8:$AQ$8,TRUE)</f>
        <v>0</v>
      </c>
      <c r="I338" s="23" cm="1">
        <f t="array" aca="1" ref="I338" ca="1">SUMIFS(Quantity!$C339:$AH339,Quantity!$C$7:$AH$7,J$6,Quantity!$C$8:$AH$8,TRUE)</f>
        <v>0</v>
      </c>
      <c r="J338" s="25" cm="1">
        <f t="array" aca="1" ref="J338" ca="1">SUMIFS(CA!$C339:$AQ339,CA!$C$7:$AQ$7,J$6,CA!$C$8:$AQ$8,TRUE)</f>
        <v>0</v>
      </c>
      <c r="K338" s="26" t="str" cm="1">
        <f t="array" ref="K338">IF(SUM(Quantity!O339:Z339)=0,"",SUM(Quantity!O339:Z339))</f>
        <v/>
      </c>
      <c r="L338" s="24" t="str" cm="1">
        <f t="array" ref="L338">IF(SUM(CA!O339:Z339)=0,"",SUM(CA!O339:Z339))</f>
        <v/>
      </c>
      <c r="M338" s="23" t="str" cm="1">
        <f t="array" ref="M338">IF(SUM(Quantity!C339:N339)=0,"",SUM(Quantity!C339:N339))</f>
        <v/>
      </c>
      <c r="N338" s="25" t="str" cm="1">
        <f t="array" ref="N338">IF(SUM(CA!C339:N339)=0,"",SUM(CA!C339:N339))</f>
        <v/>
      </c>
    </row>
    <row r="339" spans="1:14" x14ac:dyDescent="0.25">
      <c r="A339" s="1"/>
      <c r="B339" s="22" cm="1">
        <f t="array" ref="B339">Quantity!B340</f>
        <v>0</v>
      </c>
      <c r="C339" s="23" cm="1">
        <f t="array" ref="C339">Quantity!O340</f>
        <v>0</v>
      </c>
      <c r="D339" s="24" cm="1">
        <f t="array" ref="D339">CA!O340</f>
        <v>0</v>
      </c>
      <c r="E339" s="23" cm="1">
        <f t="array" ref="E339">Quantity!C340</f>
        <v>0</v>
      </c>
      <c r="F339" s="25" cm="1">
        <f t="array" ref="F339">CA!C340</f>
        <v>0</v>
      </c>
      <c r="G339" s="26" cm="1">
        <f t="array" aca="1" ref="G339" ca="1">SUMIFS(Quantity!$C340:$AH340,Quantity!$C$7:$AH$7,H$6,Quantity!$C$8:$AH$8,TRUE)</f>
        <v>0</v>
      </c>
      <c r="H339" s="24" cm="1">
        <f t="array" aca="1" ref="H339" ca="1">SUMIFS(CA!$C340:$AQ340,CA!$C$7:$AQ$7,H$6,CA!$C$8:$AQ$8,TRUE)</f>
        <v>0</v>
      </c>
      <c r="I339" s="23" cm="1">
        <f t="array" aca="1" ref="I339" ca="1">SUMIFS(Quantity!$C340:$AH340,Quantity!$C$7:$AH$7,J$6,Quantity!$C$8:$AH$8,TRUE)</f>
        <v>0</v>
      </c>
      <c r="J339" s="25" cm="1">
        <f t="array" aca="1" ref="J339" ca="1">SUMIFS(CA!$C340:$AQ340,CA!$C$7:$AQ$7,J$6,CA!$C$8:$AQ$8,TRUE)</f>
        <v>0</v>
      </c>
      <c r="K339" s="26" t="str" cm="1">
        <f t="array" ref="K339">IF(SUM(Quantity!O340:Z340)=0,"",SUM(Quantity!O340:Z340))</f>
        <v/>
      </c>
      <c r="L339" s="24" t="str" cm="1">
        <f t="array" ref="L339">IF(SUM(CA!O340:Z340)=0,"",SUM(CA!O340:Z340))</f>
        <v/>
      </c>
      <c r="M339" s="23" t="str" cm="1">
        <f t="array" ref="M339">IF(SUM(Quantity!C340:N340)=0,"",SUM(Quantity!C340:N340))</f>
        <v/>
      </c>
      <c r="N339" s="25" t="str" cm="1">
        <f t="array" ref="N339">IF(SUM(CA!C340:N340)=0,"",SUM(CA!C340:N340))</f>
        <v/>
      </c>
    </row>
    <row r="340" spans="1:14" x14ac:dyDescent="0.25">
      <c r="A340" s="1"/>
      <c r="B340" s="22" cm="1">
        <f t="array" ref="B340">Quantity!B341</f>
        <v>0</v>
      </c>
      <c r="C340" s="23" cm="1">
        <f t="array" ref="C340">Quantity!O341</f>
        <v>0</v>
      </c>
      <c r="D340" s="24" cm="1">
        <f t="array" ref="D340">CA!O341</f>
        <v>0</v>
      </c>
      <c r="E340" s="23" cm="1">
        <f t="array" ref="E340">Quantity!C341</f>
        <v>0</v>
      </c>
      <c r="F340" s="25" cm="1">
        <f t="array" ref="F340">CA!C341</f>
        <v>0</v>
      </c>
      <c r="G340" s="26" cm="1">
        <f t="array" aca="1" ref="G340" ca="1">SUMIFS(Quantity!$C341:$AH341,Quantity!$C$7:$AH$7,H$6,Quantity!$C$8:$AH$8,TRUE)</f>
        <v>0</v>
      </c>
      <c r="H340" s="24" cm="1">
        <f t="array" aca="1" ref="H340" ca="1">SUMIFS(CA!$C341:$AQ341,CA!$C$7:$AQ$7,H$6,CA!$C$8:$AQ$8,TRUE)</f>
        <v>0</v>
      </c>
      <c r="I340" s="23" cm="1">
        <f t="array" aca="1" ref="I340" ca="1">SUMIFS(Quantity!$C341:$AH341,Quantity!$C$7:$AH$7,J$6,Quantity!$C$8:$AH$8,TRUE)</f>
        <v>0</v>
      </c>
      <c r="J340" s="25" cm="1">
        <f t="array" aca="1" ref="J340" ca="1">SUMIFS(CA!$C341:$AQ341,CA!$C$7:$AQ$7,J$6,CA!$C$8:$AQ$8,TRUE)</f>
        <v>0</v>
      </c>
      <c r="K340" s="26" t="str" cm="1">
        <f t="array" ref="K340">IF(SUM(Quantity!O341:Z341)=0,"",SUM(Quantity!O341:Z341))</f>
        <v/>
      </c>
      <c r="L340" s="24" t="str" cm="1">
        <f t="array" ref="L340">IF(SUM(CA!O341:Z341)=0,"",SUM(CA!O341:Z341))</f>
        <v/>
      </c>
      <c r="M340" s="23" t="str" cm="1">
        <f t="array" ref="M340">IF(SUM(Quantity!C341:N341)=0,"",SUM(Quantity!C341:N341))</f>
        <v/>
      </c>
      <c r="N340" s="25" t="str" cm="1">
        <f t="array" ref="N340">IF(SUM(CA!C341:N341)=0,"",SUM(CA!C341:N341))</f>
        <v/>
      </c>
    </row>
    <row r="341" spans="1:14" x14ac:dyDescent="0.25">
      <c r="A341" s="1"/>
      <c r="B341" s="22" cm="1">
        <f t="array" ref="B341">Quantity!B342</f>
        <v>0</v>
      </c>
      <c r="C341" s="23" cm="1">
        <f t="array" ref="C341">Quantity!O342</f>
        <v>0</v>
      </c>
      <c r="D341" s="24" cm="1">
        <f t="array" ref="D341">CA!O342</f>
        <v>0</v>
      </c>
      <c r="E341" s="23" cm="1">
        <f t="array" ref="E341">Quantity!C342</f>
        <v>0</v>
      </c>
      <c r="F341" s="25" cm="1">
        <f t="array" ref="F341">CA!C342</f>
        <v>0</v>
      </c>
      <c r="G341" s="26" cm="1">
        <f t="array" aca="1" ref="G341" ca="1">SUMIFS(Quantity!$C342:$AH342,Quantity!$C$7:$AH$7,H$6,Quantity!$C$8:$AH$8,TRUE)</f>
        <v>0</v>
      </c>
      <c r="H341" s="24" cm="1">
        <f t="array" aca="1" ref="H341" ca="1">SUMIFS(CA!$C342:$AQ342,CA!$C$7:$AQ$7,H$6,CA!$C$8:$AQ$8,TRUE)</f>
        <v>0</v>
      </c>
      <c r="I341" s="23" cm="1">
        <f t="array" aca="1" ref="I341" ca="1">SUMIFS(Quantity!$C342:$AH342,Quantity!$C$7:$AH$7,J$6,Quantity!$C$8:$AH$8,TRUE)</f>
        <v>0</v>
      </c>
      <c r="J341" s="25" cm="1">
        <f t="array" aca="1" ref="J341" ca="1">SUMIFS(CA!$C342:$AQ342,CA!$C$7:$AQ$7,J$6,CA!$C$8:$AQ$8,TRUE)</f>
        <v>0</v>
      </c>
      <c r="K341" s="26" t="str" cm="1">
        <f t="array" ref="K341">IF(SUM(Quantity!O342:Z342)=0,"",SUM(Quantity!O342:Z342))</f>
        <v/>
      </c>
      <c r="L341" s="24" t="str" cm="1">
        <f t="array" ref="L341">IF(SUM(CA!O342:Z342)=0,"",SUM(CA!O342:Z342))</f>
        <v/>
      </c>
      <c r="M341" s="23" t="str" cm="1">
        <f t="array" ref="M341">IF(SUM(Quantity!C342:N342)=0,"",SUM(Quantity!C342:N342))</f>
        <v/>
      </c>
      <c r="N341" s="25" t="str" cm="1">
        <f t="array" ref="N341">IF(SUM(CA!C342:N342)=0,"",SUM(CA!C342:N342))</f>
        <v/>
      </c>
    </row>
    <row r="342" spans="1:14" x14ac:dyDescent="0.25">
      <c r="A342" s="1"/>
      <c r="B342" s="22" cm="1">
        <f t="array" ref="B342">Quantity!B343</f>
        <v>0</v>
      </c>
      <c r="C342" s="23" cm="1">
        <f t="array" ref="C342">Quantity!O343</f>
        <v>0</v>
      </c>
      <c r="D342" s="24" cm="1">
        <f t="array" ref="D342">CA!O343</f>
        <v>0</v>
      </c>
      <c r="E342" s="23" cm="1">
        <f t="array" ref="E342">Quantity!C343</f>
        <v>0</v>
      </c>
      <c r="F342" s="25" cm="1">
        <f t="array" ref="F342">CA!C343</f>
        <v>0</v>
      </c>
      <c r="G342" s="26" cm="1">
        <f t="array" aca="1" ref="G342" ca="1">SUMIFS(Quantity!$C343:$AH343,Quantity!$C$7:$AH$7,H$6,Quantity!$C$8:$AH$8,TRUE)</f>
        <v>0</v>
      </c>
      <c r="H342" s="24" cm="1">
        <f t="array" aca="1" ref="H342" ca="1">SUMIFS(CA!$C343:$AQ343,CA!$C$7:$AQ$7,H$6,CA!$C$8:$AQ$8,TRUE)</f>
        <v>0</v>
      </c>
      <c r="I342" s="23" cm="1">
        <f t="array" aca="1" ref="I342" ca="1">SUMIFS(Quantity!$C343:$AH343,Quantity!$C$7:$AH$7,J$6,Quantity!$C$8:$AH$8,TRUE)</f>
        <v>0</v>
      </c>
      <c r="J342" s="25" cm="1">
        <f t="array" aca="1" ref="J342" ca="1">SUMIFS(CA!$C343:$AQ343,CA!$C$7:$AQ$7,J$6,CA!$C$8:$AQ$8,TRUE)</f>
        <v>0</v>
      </c>
      <c r="K342" s="26" t="str" cm="1">
        <f t="array" ref="K342">IF(SUM(Quantity!O343:Z343)=0,"",SUM(Quantity!O343:Z343))</f>
        <v/>
      </c>
      <c r="L342" s="24" t="str" cm="1">
        <f t="array" ref="L342">IF(SUM(CA!O343:Z343)=0,"",SUM(CA!O343:Z343))</f>
        <v/>
      </c>
      <c r="M342" s="23" t="str" cm="1">
        <f t="array" ref="M342">IF(SUM(Quantity!C343:N343)=0,"",SUM(Quantity!C343:N343))</f>
        <v/>
      </c>
      <c r="N342" s="25" t="str" cm="1">
        <f t="array" ref="N342">IF(SUM(CA!C343:N343)=0,"",SUM(CA!C343:N343))</f>
        <v/>
      </c>
    </row>
    <row r="343" spans="1:14" x14ac:dyDescent="0.25">
      <c r="A343" s="1"/>
      <c r="B343" s="22" cm="1">
        <f t="array" ref="B343">Quantity!B344</f>
        <v>0</v>
      </c>
      <c r="C343" s="23" cm="1">
        <f t="array" ref="C343">Quantity!O344</f>
        <v>0</v>
      </c>
      <c r="D343" s="24" cm="1">
        <f t="array" ref="D343">CA!O344</f>
        <v>0</v>
      </c>
      <c r="E343" s="23" cm="1">
        <f t="array" ref="E343">Quantity!C344</f>
        <v>0</v>
      </c>
      <c r="F343" s="25" cm="1">
        <f t="array" ref="F343">CA!C344</f>
        <v>0</v>
      </c>
      <c r="G343" s="26" cm="1">
        <f t="array" aca="1" ref="G343" ca="1">SUMIFS(Quantity!$C344:$AH344,Quantity!$C$7:$AH$7,H$6,Quantity!$C$8:$AH$8,TRUE)</f>
        <v>0</v>
      </c>
      <c r="H343" s="24" cm="1">
        <f t="array" aca="1" ref="H343" ca="1">SUMIFS(CA!$C344:$AQ344,CA!$C$7:$AQ$7,H$6,CA!$C$8:$AQ$8,TRUE)</f>
        <v>0</v>
      </c>
      <c r="I343" s="23" cm="1">
        <f t="array" aca="1" ref="I343" ca="1">SUMIFS(Quantity!$C344:$AH344,Quantity!$C$7:$AH$7,J$6,Quantity!$C$8:$AH$8,TRUE)</f>
        <v>0</v>
      </c>
      <c r="J343" s="25" cm="1">
        <f t="array" aca="1" ref="J343" ca="1">SUMIFS(CA!$C344:$AQ344,CA!$C$7:$AQ$7,J$6,CA!$C$8:$AQ$8,TRUE)</f>
        <v>0</v>
      </c>
      <c r="K343" s="26" t="str" cm="1">
        <f t="array" ref="K343">IF(SUM(Quantity!O344:Z344)=0,"",SUM(Quantity!O344:Z344))</f>
        <v/>
      </c>
      <c r="L343" s="24" t="str" cm="1">
        <f t="array" ref="L343">IF(SUM(CA!O344:Z344)=0,"",SUM(CA!O344:Z344))</f>
        <v/>
      </c>
      <c r="M343" s="23" t="str" cm="1">
        <f t="array" ref="M343">IF(SUM(Quantity!C344:N344)=0,"",SUM(Quantity!C344:N344))</f>
        <v/>
      </c>
      <c r="N343" s="25" t="str" cm="1">
        <f t="array" ref="N343">IF(SUM(CA!C344:N344)=0,"",SUM(CA!C344:N344))</f>
        <v/>
      </c>
    </row>
    <row r="344" spans="1:14" x14ac:dyDescent="0.25">
      <c r="A344" s="1"/>
      <c r="B344" s="22" cm="1">
        <f t="array" ref="B344">Quantity!B345</f>
        <v>0</v>
      </c>
      <c r="C344" s="23" cm="1">
        <f t="array" ref="C344">Quantity!O345</f>
        <v>0</v>
      </c>
      <c r="D344" s="24" cm="1">
        <f t="array" ref="D344">CA!O345</f>
        <v>0</v>
      </c>
      <c r="E344" s="23" cm="1">
        <f t="array" ref="E344">Quantity!C345</f>
        <v>0</v>
      </c>
      <c r="F344" s="25" cm="1">
        <f t="array" ref="F344">CA!C345</f>
        <v>0</v>
      </c>
      <c r="G344" s="26" cm="1">
        <f t="array" aca="1" ref="G344" ca="1">SUMIFS(Quantity!$C345:$AH345,Quantity!$C$7:$AH$7,H$6,Quantity!$C$8:$AH$8,TRUE)</f>
        <v>0</v>
      </c>
      <c r="H344" s="24" cm="1">
        <f t="array" aca="1" ref="H344" ca="1">SUMIFS(CA!$C345:$AQ345,CA!$C$7:$AQ$7,H$6,CA!$C$8:$AQ$8,TRUE)</f>
        <v>0</v>
      </c>
      <c r="I344" s="23" cm="1">
        <f t="array" aca="1" ref="I344" ca="1">SUMIFS(Quantity!$C345:$AH345,Quantity!$C$7:$AH$7,J$6,Quantity!$C$8:$AH$8,TRUE)</f>
        <v>0</v>
      </c>
      <c r="J344" s="25" cm="1">
        <f t="array" aca="1" ref="J344" ca="1">SUMIFS(CA!$C345:$AQ345,CA!$C$7:$AQ$7,J$6,CA!$C$8:$AQ$8,TRUE)</f>
        <v>0</v>
      </c>
      <c r="K344" s="26" t="str" cm="1">
        <f t="array" ref="K344">IF(SUM(Quantity!O345:Z345)=0,"",SUM(Quantity!O345:Z345))</f>
        <v/>
      </c>
      <c r="L344" s="24" t="str" cm="1">
        <f t="array" ref="L344">IF(SUM(CA!O345:Z345)=0,"",SUM(CA!O345:Z345))</f>
        <v/>
      </c>
      <c r="M344" s="23" t="str" cm="1">
        <f t="array" ref="M344">IF(SUM(Quantity!C345:N345)=0,"",SUM(Quantity!C345:N345))</f>
        <v/>
      </c>
      <c r="N344" s="25" t="str" cm="1">
        <f t="array" ref="N344">IF(SUM(CA!C345:N345)=0,"",SUM(CA!C345:N345))</f>
        <v/>
      </c>
    </row>
    <row r="345" spans="1:14" x14ac:dyDescent="0.25">
      <c r="A345" s="1"/>
      <c r="B345" s="22" cm="1">
        <f t="array" ref="B345">Quantity!B346</f>
        <v>0</v>
      </c>
      <c r="C345" s="23" cm="1">
        <f t="array" ref="C345">Quantity!O346</f>
        <v>0</v>
      </c>
      <c r="D345" s="24" cm="1">
        <f t="array" ref="D345">CA!O346</f>
        <v>0</v>
      </c>
      <c r="E345" s="23" cm="1">
        <f t="array" ref="E345">Quantity!C346</f>
        <v>0</v>
      </c>
      <c r="F345" s="25" cm="1">
        <f t="array" ref="F345">CA!C346</f>
        <v>0</v>
      </c>
      <c r="G345" s="26" cm="1">
        <f t="array" aca="1" ref="G345" ca="1">SUMIFS(Quantity!$C346:$AH346,Quantity!$C$7:$AH$7,H$6,Quantity!$C$8:$AH$8,TRUE)</f>
        <v>0</v>
      </c>
      <c r="H345" s="24" cm="1">
        <f t="array" aca="1" ref="H345" ca="1">SUMIFS(CA!$C346:$AQ346,CA!$C$7:$AQ$7,H$6,CA!$C$8:$AQ$8,TRUE)</f>
        <v>0</v>
      </c>
      <c r="I345" s="23" cm="1">
        <f t="array" aca="1" ref="I345" ca="1">SUMIFS(Quantity!$C346:$AH346,Quantity!$C$7:$AH$7,J$6,Quantity!$C$8:$AH$8,TRUE)</f>
        <v>0</v>
      </c>
      <c r="J345" s="25" cm="1">
        <f t="array" aca="1" ref="J345" ca="1">SUMIFS(CA!$C346:$AQ346,CA!$C$7:$AQ$7,J$6,CA!$C$8:$AQ$8,TRUE)</f>
        <v>0</v>
      </c>
      <c r="K345" s="26" t="str" cm="1">
        <f t="array" ref="K345">IF(SUM(Quantity!O346:Z346)=0,"",SUM(Quantity!O346:Z346))</f>
        <v/>
      </c>
      <c r="L345" s="24" t="str" cm="1">
        <f t="array" ref="L345">IF(SUM(CA!O346:Z346)=0,"",SUM(CA!O346:Z346))</f>
        <v/>
      </c>
      <c r="M345" s="23" t="str" cm="1">
        <f t="array" ref="M345">IF(SUM(Quantity!C346:N346)=0,"",SUM(Quantity!C346:N346))</f>
        <v/>
      </c>
      <c r="N345" s="25" t="str" cm="1">
        <f t="array" ref="N345">IF(SUM(CA!C346:N346)=0,"",SUM(CA!C346:N346))</f>
        <v/>
      </c>
    </row>
    <row r="346" spans="1:14" x14ac:dyDescent="0.25">
      <c r="A346" s="1"/>
      <c r="B346" s="22" cm="1">
        <f t="array" ref="B346">Quantity!B347</f>
        <v>0</v>
      </c>
      <c r="C346" s="23" cm="1">
        <f t="array" ref="C346">Quantity!O347</f>
        <v>0</v>
      </c>
      <c r="D346" s="24" cm="1">
        <f t="array" ref="D346">CA!O347</f>
        <v>0</v>
      </c>
      <c r="E346" s="23" cm="1">
        <f t="array" ref="E346">Quantity!C347</f>
        <v>0</v>
      </c>
      <c r="F346" s="25" cm="1">
        <f t="array" ref="F346">CA!C347</f>
        <v>0</v>
      </c>
      <c r="G346" s="26" cm="1">
        <f t="array" aca="1" ref="G346" ca="1">SUMIFS(Quantity!$C347:$AH347,Quantity!$C$7:$AH$7,H$6,Quantity!$C$8:$AH$8,TRUE)</f>
        <v>0</v>
      </c>
      <c r="H346" s="24" cm="1">
        <f t="array" aca="1" ref="H346" ca="1">SUMIFS(CA!$C347:$AQ347,CA!$C$7:$AQ$7,H$6,CA!$C$8:$AQ$8,TRUE)</f>
        <v>0</v>
      </c>
      <c r="I346" s="23" cm="1">
        <f t="array" aca="1" ref="I346" ca="1">SUMIFS(Quantity!$C347:$AH347,Quantity!$C$7:$AH$7,J$6,Quantity!$C$8:$AH$8,TRUE)</f>
        <v>0</v>
      </c>
      <c r="J346" s="25" cm="1">
        <f t="array" aca="1" ref="J346" ca="1">SUMIFS(CA!$C347:$AQ347,CA!$C$7:$AQ$7,J$6,CA!$C$8:$AQ$8,TRUE)</f>
        <v>0</v>
      </c>
      <c r="K346" s="26" t="str" cm="1">
        <f t="array" ref="K346">IF(SUM(Quantity!O347:Z347)=0,"",SUM(Quantity!O347:Z347))</f>
        <v/>
      </c>
      <c r="L346" s="24" t="str" cm="1">
        <f t="array" ref="L346">IF(SUM(CA!O347:Z347)=0,"",SUM(CA!O347:Z347))</f>
        <v/>
      </c>
      <c r="M346" s="23" t="str" cm="1">
        <f t="array" ref="M346">IF(SUM(Quantity!C347:N347)=0,"",SUM(Quantity!C347:N347))</f>
        <v/>
      </c>
      <c r="N346" s="25" t="str" cm="1">
        <f t="array" ref="N346">IF(SUM(CA!C347:N347)=0,"",SUM(CA!C347:N347))</f>
        <v/>
      </c>
    </row>
    <row r="347" spans="1:14" x14ac:dyDescent="0.25">
      <c r="A347" s="1"/>
      <c r="B347" s="22" cm="1">
        <f t="array" ref="B347">Quantity!B348</f>
        <v>0</v>
      </c>
      <c r="C347" s="23" cm="1">
        <f t="array" ref="C347">Quantity!O348</f>
        <v>0</v>
      </c>
      <c r="D347" s="24" cm="1">
        <f t="array" ref="D347">CA!O348</f>
        <v>0</v>
      </c>
      <c r="E347" s="23" cm="1">
        <f t="array" ref="E347">Quantity!C348</f>
        <v>0</v>
      </c>
      <c r="F347" s="25" cm="1">
        <f t="array" ref="F347">CA!C348</f>
        <v>0</v>
      </c>
      <c r="G347" s="26" cm="1">
        <f t="array" aca="1" ref="G347" ca="1">SUMIFS(Quantity!$C348:$AH348,Quantity!$C$7:$AH$7,H$6,Quantity!$C$8:$AH$8,TRUE)</f>
        <v>0</v>
      </c>
      <c r="H347" s="24" cm="1">
        <f t="array" aca="1" ref="H347" ca="1">SUMIFS(CA!$C348:$AQ348,CA!$C$7:$AQ$7,H$6,CA!$C$8:$AQ$8,TRUE)</f>
        <v>0</v>
      </c>
      <c r="I347" s="23" cm="1">
        <f t="array" aca="1" ref="I347" ca="1">SUMIFS(Quantity!$C348:$AH348,Quantity!$C$7:$AH$7,J$6,Quantity!$C$8:$AH$8,TRUE)</f>
        <v>0</v>
      </c>
      <c r="J347" s="25" cm="1">
        <f t="array" aca="1" ref="J347" ca="1">SUMIFS(CA!$C348:$AQ348,CA!$C$7:$AQ$7,J$6,CA!$C$8:$AQ$8,TRUE)</f>
        <v>0</v>
      </c>
      <c r="K347" s="26" t="str" cm="1">
        <f t="array" ref="K347">IF(SUM(Quantity!O348:Z348)=0,"",SUM(Quantity!O348:Z348))</f>
        <v/>
      </c>
      <c r="L347" s="24" t="str" cm="1">
        <f t="array" ref="L347">IF(SUM(CA!O348:Z348)=0,"",SUM(CA!O348:Z348))</f>
        <v/>
      </c>
      <c r="M347" s="23" t="str" cm="1">
        <f t="array" ref="M347">IF(SUM(Quantity!C348:N348)=0,"",SUM(Quantity!C348:N348))</f>
        <v/>
      </c>
      <c r="N347" s="25" t="str" cm="1">
        <f t="array" ref="N347">IF(SUM(CA!C348:N348)=0,"",SUM(CA!C348:N348))</f>
        <v/>
      </c>
    </row>
    <row r="348" spans="1:14" x14ac:dyDescent="0.25">
      <c r="A348" s="1"/>
      <c r="B348" s="22" cm="1">
        <f t="array" ref="B348">Quantity!B349</f>
        <v>0</v>
      </c>
      <c r="C348" s="23" cm="1">
        <f t="array" ref="C348">Quantity!O349</f>
        <v>0</v>
      </c>
      <c r="D348" s="24" cm="1">
        <f t="array" ref="D348">CA!O349</f>
        <v>0</v>
      </c>
      <c r="E348" s="23" cm="1">
        <f t="array" ref="E348">Quantity!C349</f>
        <v>0</v>
      </c>
      <c r="F348" s="25" cm="1">
        <f t="array" ref="F348">CA!C349</f>
        <v>0</v>
      </c>
      <c r="G348" s="26" cm="1">
        <f t="array" aca="1" ref="G348" ca="1">SUMIFS(Quantity!$C349:$AH349,Quantity!$C$7:$AH$7,H$6,Quantity!$C$8:$AH$8,TRUE)</f>
        <v>0</v>
      </c>
      <c r="H348" s="24" cm="1">
        <f t="array" aca="1" ref="H348" ca="1">SUMIFS(CA!$C349:$AQ349,CA!$C$7:$AQ$7,H$6,CA!$C$8:$AQ$8,TRUE)</f>
        <v>0</v>
      </c>
      <c r="I348" s="23" cm="1">
        <f t="array" aca="1" ref="I348" ca="1">SUMIFS(Quantity!$C349:$AH349,Quantity!$C$7:$AH$7,J$6,Quantity!$C$8:$AH$8,TRUE)</f>
        <v>0</v>
      </c>
      <c r="J348" s="25" cm="1">
        <f t="array" aca="1" ref="J348" ca="1">SUMIFS(CA!$C349:$AQ349,CA!$C$7:$AQ$7,J$6,CA!$C$8:$AQ$8,TRUE)</f>
        <v>0</v>
      </c>
      <c r="K348" s="26" t="str" cm="1">
        <f t="array" ref="K348">IF(SUM(Quantity!O349:Z349)=0,"",SUM(Quantity!O349:Z349))</f>
        <v/>
      </c>
      <c r="L348" s="24" t="str" cm="1">
        <f t="array" ref="L348">IF(SUM(CA!O349:Z349)=0,"",SUM(CA!O349:Z349))</f>
        <v/>
      </c>
      <c r="M348" s="23" t="str" cm="1">
        <f t="array" ref="M348">IF(SUM(Quantity!C349:N349)=0,"",SUM(Quantity!C349:N349))</f>
        <v/>
      </c>
      <c r="N348" s="25" t="str" cm="1">
        <f t="array" ref="N348">IF(SUM(CA!C349:N349)=0,"",SUM(CA!C349:N349))</f>
        <v/>
      </c>
    </row>
    <row r="349" spans="1:14" x14ac:dyDescent="0.25">
      <c r="A349" s="1"/>
      <c r="B349" s="22" cm="1">
        <f t="array" ref="B349">Quantity!B350</f>
        <v>0</v>
      </c>
      <c r="C349" s="23" cm="1">
        <f t="array" ref="C349">Quantity!O350</f>
        <v>0</v>
      </c>
      <c r="D349" s="24" cm="1">
        <f t="array" ref="D349">CA!O350</f>
        <v>0</v>
      </c>
      <c r="E349" s="23" cm="1">
        <f t="array" ref="E349">Quantity!C350</f>
        <v>0</v>
      </c>
      <c r="F349" s="25" cm="1">
        <f t="array" ref="F349">CA!C350</f>
        <v>0</v>
      </c>
      <c r="G349" s="26" cm="1">
        <f t="array" aca="1" ref="G349" ca="1">SUMIFS(Quantity!$C350:$AH350,Quantity!$C$7:$AH$7,H$6,Quantity!$C$8:$AH$8,TRUE)</f>
        <v>0</v>
      </c>
      <c r="H349" s="24" cm="1">
        <f t="array" aca="1" ref="H349" ca="1">SUMIFS(CA!$C350:$AQ350,CA!$C$7:$AQ$7,H$6,CA!$C$8:$AQ$8,TRUE)</f>
        <v>0</v>
      </c>
      <c r="I349" s="23" cm="1">
        <f t="array" aca="1" ref="I349" ca="1">SUMIFS(Quantity!$C350:$AH350,Quantity!$C$7:$AH$7,J$6,Quantity!$C$8:$AH$8,TRUE)</f>
        <v>0</v>
      </c>
      <c r="J349" s="25" cm="1">
        <f t="array" aca="1" ref="J349" ca="1">SUMIFS(CA!$C350:$AQ350,CA!$C$7:$AQ$7,J$6,CA!$C$8:$AQ$8,TRUE)</f>
        <v>0</v>
      </c>
      <c r="K349" s="26" t="str" cm="1">
        <f t="array" ref="K349">IF(SUM(Quantity!O350:Z350)=0,"",SUM(Quantity!O350:Z350))</f>
        <v/>
      </c>
      <c r="L349" s="24" t="str" cm="1">
        <f t="array" ref="L349">IF(SUM(CA!O350:Z350)=0,"",SUM(CA!O350:Z350))</f>
        <v/>
      </c>
      <c r="M349" s="23" t="str" cm="1">
        <f t="array" ref="M349">IF(SUM(Quantity!C350:N350)=0,"",SUM(Quantity!C350:N350))</f>
        <v/>
      </c>
      <c r="N349" s="25" t="str" cm="1">
        <f t="array" ref="N349">IF(SUM(CA!C350:N350)=0,"",SUM(CA!C350:N350))</f>
        <v/>
      </c>
    </row>
    <row r="350" spans="1:14" x14ac:dyDescent="0.25">
      <c r="A350" s="1"/>
      <c r="B350" s="22" cm="1">
        <f t="array" ref="B350">Quantity!B351</f>
        <v>0</v>
      </c>
      <c r="C350" s="23" cm="1">
        <f t="array" ref="C350">Quantity!O351</f>
        <v>0</v>
      </c>
      <c r="D350" s="24" cm="1">
        <f t="array" ref="D350">CA!O351</f>
        <v>0</v>
      </c>
      <c r="E350" s="23" cm="1">
        <f t="array" ref="E350">Quantity!C351</f>
        <v>0</v>
      </c>
      <c r="F350" s="25" cm="1">
        <f t="array" ref="F350">CA!C351</f>
        <v>0</v>
      </c>
      <c r="G350" s="26" cm="1">
        <f t="array" aca="1" ref="G350" ca="1">SUMIFS(Quantity!$C351:$AH351,Quantity!$C$7:$AH$7,H$6,Quantity!$C$8:$AH$8,TRUE)</f>
        <v>0</v>
      </c>
      <c r="H350" s="24" cm="1">
        <f t="array" aca="1" ref="H350" ca="1">SUMIFS(CA!$C351:$AQ351,CA!$C$7:$AQ$7,H$6,CA!$C$8:$AQ$8,TRUE)</f>
        <v>0</v>
      </c>
      <c r="I350" s="23" cm="1">
        <f t="array" aca="1" ref="I350" ca="1">SUMIFS(Quantity!$C351:$AH351,Quantity!$C$7:$AH$7,J$6,Quantity!$C$8:$AH$8,TRUE)</f>
        <v>0</v>
      </c>
      <c r="J350" s="25" cm="1">
        <f t="array" aca="1" ref="J350" ca="1">SUMIFS(CA!$C351:$AQ351,CA!$C$7:$AQ$7,J$6,CA!$C$8:$AQ$8,TRUE)</f>
        <v>0</v>
      </c>
      <c r="K350" s="26" t="str" cm="1">
        <f t="array" ref="K350">IF(SUM(Quantity!O351:Z351)=0,"",SUM(Quantity!O351:Z351))</f>
        <v/>
      </c>
      <c r="L350" s="24" t="str" cm="1">
        <f t="array" ref="L350">IF(SUM(CA!O351:Z351)=0,"",SUM(CA!O351:Z351))</f>
        <v/>
      </c>
      <c r="M350" s="23" t="str" cm="1">
        <f t="array" ref="M350">IF(SUM(Quantity!C351:N351)=0,"",SUM(Quantity!C351:N351))</f>
        <v/>
      </c>
      <c r="N350" s="25" t="str" cm="1">
        <f t="array" ref="N350">IF(SUM(CA!C351:N351)=0,"",SUM(CA!C351:N351))</f>
        <v/>
      </c>
    </row>
    <row r="351" spans="1:14" x14ac:dyDescent="0.25">
      <c r="A351" s="1"/>
      <c r="B351" s="22" cm="1">
        <f t="array" ref="B351">Quantity!B352</f>
        <v>0</v>
      </c>
      <c r="C351" s="23" cm="1">
        <f t="array" ref="C351">Quantity!O352</f>
        <v>0</v>
      </c>
      <c r="D351" s="24" cm="1">
        <f t="array" ref="D351">CA!O352</f>
        <v>0</v>
      </c>
      <c r="E351" s="23" cm="1">
        <f t="array" ref="E351">Quantity!C352</f>
        <v>0</v>
      </c>
      <c r="F351" s="25" cm="1">
        <f t="array" ref="F351">CA!C352</f>
        <v>0</v>
      </c>
      <c r="G351" s="26" cm="1">
        <f t="array" aca="1" ref="G351" ca="1">SUMIFS(Quantity!$C352:$AH352,Quantity!$C$7:$AH$7,H$6,Quantity!$C$8:$AH$8,TRUE)</f>
        <v>0</v>
      </c>
      <c r="H351" s="24" cm="1">
        <f t="array" aca="1" ref="H351" ca="1">SUMIFS(CA!$C352:$AQ352,CA!$C$7:$AQ$7,H$6,CA!$C$8:$AQ$8,TRUE)</f>
        <v>0</v>
      </c>
      <c r="I351" s="23" cm="1">
        <f t="array" aca="1" ref="I351" ca="1">SUMIFS(Quantity!$C352:$AH352,Quantity!$C$7:$AH$7,J$6,Quantity!$C$8:$AH$8,TRUE)</f>
        <v>0</v>
      </c>
      <c r="J351" s="25" cm="1">
        <f t="array" aca="1" ref="J351" ca="1">SUMIFS(CA!$C352:$AQ352,CA!$C$7:$AQ$7,J$6,CA!$C$8:$AQ$8,TRUE)</f>
        <v>0</v>
      </c>
      <c r="K351" s="26" t="str" cm="1">
        <f t="array" ref="K351">IF(SUM(Quantity!O352:Z352)=0,"",SUM(Quantity!O352:Z352))</f>
        <v/>
      </c>
      <c r="L351" s="24" t="str" cm="1">
        <f t="array" ref="L351">IF(SUM(CA!O352:Z352)=0,"",SUM(CA!O352:Z352))</f>
        <v/>
      </c>
      <c r="M351" s="23" t="str" cm="1">
        <f t="array" ref="M351">IF(SUM(Quantity!C352:N352)=0,"",SUM(Quantity!C352:N352))</f>
        <v/>
      </c>
      <c r="N351" s="25" t="str" cm="1">
        <f t="array" ref="N351">IF(SUM(CA!C352:N352)=0,"",SUM(CA!C352:N352))</f>
        <v/>
      </c>
    </row>
    <row r="352" spans="1:14" x14ac:dyDescent="0.25">
      <c r="A352" s="1"/>
      <c r="B352" s="22" cm="1">
        <f t="array" ref="B352">Quantity!B353</f>
        <v>0</v>
      </c>
      <c r="C352" s="23" cm="1">
        <f t="array" ref="C352">Quantity!O353</f>
        <v>0</v>
      </c>
      <c r="D352" s="24" cm="1">
        <f t="array" ref="D352">CA!O353</f>
        <v>0</v>
      </c>
      <c r="E352" s="23" cm="1">
        <f t="array" ref="E352">Quantity!C353</f>
        <v>0</v>
      </c>
      <c r="F352" s="25" cm="1">
        <f t="array" ref="F352">CA!C353</f>
        <v>0</v>
      </c>
      <c r="G352" s="26" cm="1">
        <f t="array" aca="1" ref="G352" ca="1">SUMIFS(Quantity!$C353:$AH353,Quantity!$C$7:$AH$7,H$6,Quantity!$C$8:$AH$8,TRUE)</f>
        <v>0</v>
      </c>
      <c r="H352" s="24" cm="1">
        <f t="array" aca="1" ref="H352" ca="1">SUMIFS(CA!$C353:$AQ353,CA!$C$7:$AQ$7,H$6,CA!$C$8:$AQ$8,TRUE)</f>
        <v>0</v>
      </c>
      <c r="I352" s="23" cm="1">
        <f t="array" aca="1" ref="I352" ca="1">SUMIFS(Quantity!$C353:$AH353,Quantity!$C$7:$AH$7,J$6,Quantity!$C$8:$AH$8,TRUE)</f>
        <v>0</v>
      </c>
      <c r="J352" s="25" cm="1">
        <f t="array" aca="1" ref="J352" ca="1">SUMIFS(CA!$C353:$AQ353,CA!$C$7:$AQ$7,J$6,CA!$C$8:$AQ$8,TRUE)</f>
        <v>0</v>
      </c>
      <c r="K352" s="26" t="str" cm="1">
        <f t="array" ref="K352">IF(SUM(Quantity!O353:Z353)=0,"",SUM(Quantity!O353:Z353))</f>
        <v/>
      </c>
      <c r="L352" s="24" t="str" cm="1">
        <f t="array" ref="L352">IF(SUM(CA!O353:Z353)=0,"",SUM(CA!O353:Z353))</f>
        <v/>
      </c>
      <c r="M352" s="23" t="str" cm="1">
        <f t="array" ref="M352">IF(SUM(Quantity!C353:N353)=0,"",SUM(Quantity!C353:N353))</f>
        <v/>
      </c>
      <c r="N352" s="25" t="str" cm="1">
        <f t="array" ref="N352">IF(SUM(CA!C353:N353)=0,"",SUM(CA!C353:N353))</f>
        <v/>
      </c>
    </row>
    <row r="353" spans="1:14" x14ac:dyDescent="0.25">
      <c r="A353" s="1"/>
      <c r="B353" s="22" cm="1">
        <f t="array" ref="B353">Quantity!B354</f>
        <v>0</v>
      </c>
      <c r="C353" s="23" cm="1">
        <f t="array" ref="C353">Quantity!O354</f>
        <v>0</v>
      </c>
      <c r="D353" s="24" cm="1">
        <f t="array" ref="D353">CA!O354</f>
        <v>0</v>
      </c>
      <c r="E353" s="23" cm="1">
        <f t="array" ref="E353">Quantity!C354</f>
        <v>0</v>
      </c>
      <c r="F353" s="25" cm="1">
        <f t="array" ref="F353">CA!C354</f>
        <v>0</v>
      </c>
      <c r="G353" s="26" cm="1">
        <f t="array" aca="1" ref="G353" ca="1">SUMIFS(Quantity!$C354:$AH354,Quantity!$C$7:$AH$7,H$6,Quantity!$C$8:$AH$8,TRUE)</f>
        <v>0</v>
      </c>
      <c r="H353" s="24" cm="1">
        <f t="array" aca="1" ref="H353" ca="1">SUMIFS(CA!$C354:$AQ354,CA!$C$7:$AQ$7,H$6,CA!$C$8:$AQ$8,TRUE)</f>
        <v>0</v>
      </c>
      <c r="I353" s="23" cm="1">
        <f t="array" aca="1" ref="I353" ca="1">SUMIFS(Quantity!$C354:$AH354,Quantity!$C$7:$AH$7,J$6,Quantity!$C$8:$AH$8,TRUE)</f>
        <v>0</v>
      </c>
      <c r="J353" s="25" cm="1">
        <f t="array" aca="1" ref="J353" ca="1">SUMIFS(CA!$C354:$AQ354,CA!$C$7:$AQ$7,J$6,CA!$C$8:$AQ$8,TRUE)</f>
        <v>0</v>
      </c>
      <c r="K353" s="26" t="str" cm="1">
        <f t="array" ref="K353">IF(SUM(Quantity!O354:Z354)=0,"",SUM(Quantity!O354:Z354))</f>
        <v/>
      </c>
      <c r="L353" s="24" t="str" cm="1">
        <f t="array" ref="L353">IF(SUM(CA!O354:Z354)=0,"",SUM(CA!O354:Z354))</f>
        <v/>
      </c>
      <c r="M353" s="23" t="str" cm="1">
        <f t="array" ref="M353">IF(SUM(Quantity!C354:N354)=0,"",SUM(Quantity!C354:N354))</f>
        <v/>
      </c>
      <c r="N353" s="25" t="str" cm="1">
        <f t="array" ref="N353">IF(SUM(CA!C354:N354)=0,"",SUM(CA!C354:N354))</f>
        <v/>
      </c>
    </row>
    <row r="354" spans="1:14" x14ac:dyDescent="0.25">
      <c r="A354" s="1"/>
      <c r="B354" s="22" cm="1">
        <f t="array" ref="B354">Quantity!B355</f>
        <v>0</v>
      </c>
      <c r="C354" s="23" cm="1">
        <f t="array" ref="C354">Quantity!O355</f>
        <v>0</v>
      </c>
      <c r="D354" s="24" cm="1">
        <f t="array" ref="D354">CA!O355</f>
        <v>0</v>
      </c>
      <c r="E354" s="23" cm="1">
        <f t="array" ref="E354">Quantity!C355</f>
        <v>0</v>
      </c>
      <c r="F354" s="25" cm="1">
        <f t="array" ref="F354">CA!C355</f>
        <v>0</v>
      </c>
      <c r="G354" s="26" cm="1">
        <f t="array" aca="1" ref="G354" ca="1">SUMIFS(Quantity!$C355:$AH355,Quantity!$C$7:$AH$7,H$6,Quantity!$C$8:$AH$8,TRUE)</f>
        <v>0</v>
      </c>
      <c r="H354" s="24" cm="1">
        <f t="array" aca="1" ref="H354" ca="1">SUMIFS(CA!$C355:$AQ355,CA!$C$7:$AQ$7,H$6,CA!$C$8:$AQ$8,TRUE)</f>
        <v>0</v>
      </c>
      <c r="I354" s="23" cm="1">
        <f t="array" aca="1" ref="I354" ca="1">SUMIFS(Quantity!$C355:$AH355,Quantity!$C$7:$AH$7,J$6,Quantity!$C$8:$AH$8,TRUE)</f>
        <v>0</v>
      </c>
      <c r="J354" s="25" cm="1">
        <f t="array" aca="1" ref="J354" ca="1">SUMIFS(CA!$C355:$AQ355,CA!$C$7:$AQ$7,J$6,CA!$C$8:$AQ$8,TRUE)</f>
        <v>0</v>
      </c>
      <c r="K354" s="26" t="str" cm="1">
        <f t="array" ref="K354">IF(SUM(Quantity!O355:Z355)=0,"",SUM(Quantity!O355:Z355))</f>
        <v/>
      </c>
      <c r="L354" s="24" t="str" cm="1">
        <f t="array" ref="L354">IF(SUM(CA!O355:Z355)=0,"",SUM(CA!O355:Z355))</f>
        <v/>
      </c>
      <c r="M354" s="23" t="str" cm="1">
        <f t="array" ref="M354">IF(SUM(Quantity!C355:N355)=0,"",SUM(Quantity!C355:N355))</f>
        <v/>
      </c>
      <c r="N354" s="25" t="str" cm="1">
        <f t="array" ref="N354">IF(SUM(CA!C355:N355)=0,"",SUM(CA!C355:N355))</f>
        <v/>
      </c>
    </row>
    <row r="355" spans="1:14" x14ac:dyDescent="0.25">
      <c r="A355" s="1"/>
      <c r="B355" s="22" cm="1">
        <f t="array" ref="B355">Quantity!B356</f>
        <v>0</v>
      </c>
      <c r="C355" s="23" cm="1">
        <f t="array" ref="C355">Quantity!O356</f>
        <v>0</v>
      </c>
      <c r="D355" s="24" cm="1">
        <f t="array" ref="D355">CA!O356</f>
        <v>0</v>
      </c>
      <c r="E355" s="23" cm="1">
        <f t="array" ref="E355">Quantity!C356</f>
        <v>0</v>
      </c>
      <c r="F355" s="25" cm="1">
        <f t="array" ref="F355">CA!C356</f>
        <v>0</v>
      </c>
      <c r="G355" s="26" cm="1">
        <f t="array" aca="1" ref="G355" ca="1">SUMIFS(Quantity!$C356:$AH356,Quantity!$C$7:$AH$7,H$6,Quantity!$C$8:$AH$8,TRUE)</f>
        <v>0</v>
      </c>
      <c r="H355" s="24" cm="1">
        <f t="array" aca="1" ref="H355" ca="1">SUMIFS(CA!$C356:$AQ356,CA!$C$7:$AQ$7,H$6,CA!$C$8:$AQ$8,TRUE)</f>
        <v>0</v>
      </c>
      <c r="I355" s="23" cm="1">
        <f t="array" aca="1" ref="I355" ca="1">SUMIFS(Quantity!$C356:$AH356,Quantity!$C$7:$AH$7,J$6,Quantity!$C$8:$AH$8,TRUE)</f>
        <v>0</v>
      </c>
      <c r="J355" s="25" cm="1">
        <f t="array" aca="1" ref="J355" ca="1">SUMIFS(CA!$C356:$AQ356,CA!$C$7:$AQ$7,J$6,CA!$C$8:$AQ$8,TRUE)</f>
        <v>0</v>
      </c>
      <c r="K355" s="26" t="str" cm="1">
        <f t="array" ref="K355">IF(SUM(Quantity!O356:Z356)=0,"",SUM(Quantity!O356:Z356))</f>
        <v/>
      </c>
      <c r="L355" s="24" t="str" cm="1">
        <f t="array" ref="L355">IF(SUM(CA!O356:Z356)=0,"",SUM(CA!O356:Z356))</f>
        <v/>
      </c>
      <c r="M355" s="23" t="str" cm="1">
        <f t="array" ref="M355">IF(SUM(Quantity!C356:N356)=0,"",SUM(Quantity!C356:N356))</f>
        <v/>
      </c>
      <c r="N355" s="25" t="str" cm="1">
        <f t="array" ref="N355">IF(SUM(CA!C356:N356)=0,"",SUM(CA!C356:N356))</f>
        <v/>
      </c>
    </row>
    <row r="356" spans="1:14" x14ac:dyDescent="0.25">
      <c r="A356" s="1"/>
      <c r="B356" s="22" cm="1">
        <f t="array" ref="B356">Quantity!B357</f>
        <v>0</v>
      </c>
      <c r="C356" s="23" cm="1">
        <f t="array" ref="C356">Quantity!O357</f>
        <v>0</v>
      </c>
      <c r="D356" s="24" cm="1">
        <f t="array" ref="D356">CA!O357</f>
        <v>0</v>
      </c>
      <c r="E356" s="23" cm="1">
        <f t="array" ref="E356">Quantity!C357</f>
        <v>0</v>
      </c>
      <c r="F356" s="25" cm="1">
        <f t="array" ref="F356">CA!C357</f>
        <v>0</v>
      </c>
      <c r="G356" s="26" cm="1">
        <f t="array" aca="1" ref="G356" ca="1">SUMIFS(Quantity!$C357:$AH357,Quantity!$C$7:$AH$7,H$6,Quantity!$C$8:$AH$8,TRUE)</f>
        <v>0</v>
      </c>
      <c r="H356" s="24" cm="1">
        <f t="array" aca="1" ref="H356" ca="1">SUMIFS(CA!$C357:$AQ357,CA!$C$7:$AQ$7,H$6,CA!$C$8:$AQ$8,TRUE)</f>
        <v>0</v>
      </c>
      <c r="I356" s="23" cm="1">
        <f t="array" aca="1" ref="I356" ca="1">SUMIFS(Quantity!$C357:$AH357,Quantity!$C$7:$AH$7,J$6,Quantity!$C$8:$AH$8,TRUE)</f>
        <v>0</v>
      </c>
      <c r="J356" s="25" cm="1">
        <f t="array" aca="1" ref="J356" ca="1">SUMIFS(CA!$C357:$AQ357,CA!$C$7:$AQ$7,J$6,CA!$C$8:$AQ$8,TRUE)</f>
        <v>0</v>
      </c>
      <c r="K356" s="26" t="str" cm="1">
        <f t="array" ref="K356">IF(SUM(Quantity!O357:Z357)=0,"",SUM(Quantity!O357:Z357))</f>
        <v/>
      </c>
      <c r="L356" s="24" t="str" cm="1">
        <f t="array" ref="L356">IF(SUM(CA!O357:Z357)=0,"",SUM(CA!O357:Z357))</f>
        <v/>
      </c>
      <c r="M356" s="23" t="str" cm="1">
        <f t="array" ref="M356">IF(SUM(Quantity!C357:N357)=0,"",SUM(Quantity!C357:N357))</f>
        <v/>
      </c>
      <c r="N356" s="25" t="str" cm="1">
        <f t="array" ref="N356">IF(SUM(CA!C357:N357)=0,"",SUM(CA!C357:N357))</f>
        <v/>
      </c>
    </row>
    <row r="357" spans="1:14" x14ac:dyDescent="0.25">
      <c r="A357" s="1"/>
      <c r="B357" s="22" cm="1">
        <f t="array" ref="B357">Quantity!B358</f>
        <v>0</v>
      </c>
      <c r="C357" s="23" cm="1">
        <f t="array" ref="C357">Quantity!O358</f>
        <v>0</v>
      </c>
      <c r="D357" s="24" cm="1">
        <f t="array" ref="D357">CA!O358</f>
        <v>0</v>
      </c>
      <c r="E357" s="23" cm="1">
        <f t="array" ref="E357">Quantity!C358</f>
        <v>0</v>
      </c>
      <c r="F357" s="25" cm="1">
        <f t="array" ref="F357">CA!C358</f>
        <v>0</v>
      </c>
      <c r="G357" s="26" cm="1">
        <f t="array" aca="1" ref="G357" ca="1">SUMIFS(Quantity!$C358:$AH358,Quantity!$C$7:$AH$7,H$6,Quantity!$C$8:$AH$8,TRUE)</f>
        <v>0</v>
      </c>
      <c r="H357" s="24" cm="1">
        <f t="array" aca="1" ref="H357" ca="1">SUMIFS(CA!$C358:$AQ358,CA!$C$7:$AQ$7,H$6,CA!$C$8:$AQ$8,TRUE)</f>
        <v>0</v>
      </c>
      <c r="I357" s="23" cm="1">
        <f t="array" aca="1" ref="I357" ca="1">SUMIFS(Quantity!$C358:$AH358,Quantity!$C$7:$AH$7,J$6,Quantity!$C$8:$AH$8,TRUE)</f>
        <v>0</v>
      </c>
      <c r="J357" s="25" cm="1">
        <f t="array" aca="1" ref="J357" ca="1">SUMIFS(CA!$C358:$AQ358,CA!$C$7:$AQ$7,J$6,CA!$C$8:$AQ$8,TRUE)</f>
        <v>0</v>
      </c>
      <c r="K357" s="26" t="str" cm="1">
        <f t="array" ref="K357">IF(SUM(Quantity!O358:Z358)=0,"",SUM(Quantity!O358:Z358))</f>
        <v/>
      </c>
      <c r="L357" s="24" t="str" cm="1">
        <f t="array" ref="L357">IF(SUM(CA!O358:Z358)=0,"",SUM(CA!O358:Z358))</f>
        <v/>
      </c>
      <c r="M357" s="23" t="str" cm="1">
        <f t="array" ref="M357">IF(SUM(Quantity!C358:N358)=0,"",SUM(Quantity!C358:N358))</f>
        <v/>
      </c>
      <c r="N357" s="25" t="str" cm="1">
        <f t="array" ref="N357">IF(SUM(CA!C358:N358)=0,"",SUM(CA!C358:N358))</f>
        <v/>
      </c>
    </row>
    <row r="358" spans="1:14" x14ac:dyDescent="0.25">
      <c r="A358" s="1"/>
      <c r="B358" s="22" cm="1">
        <f t="array" ref="B358">Quantity!B359</f>
        <v>0</v>
      </c>
      <c r="C358" s="23" cm="1">
        <f t="array" ref="C358">Quantity!O359</f>
        <v>0</v>
      </c>
      <c r="D358" s="24" cm="1">
        <f t="array" ref="D358">CA!O359</f>
        <v>0</v>
      </c>
      <c r="E358" s="23" cm="1">
        <f t="array" ref="E358">Quantity!C359</f>
        <v>0</v>
      </c>
      <c r="F358" s="25" cm="1">
        <f t="array" ref="F358">CA!C359</f>
        <v>0</v>
      </c>
      <c r="G358" s="26" cm="1">
        <f t="array" aca="1" ref="G358" ca="1">SUMIFS(Quantity!$C359:$AH359,Quantity!$C$7:$AH$7,H$6,Quantity!$C$8:$AH$8,TRUE)</f>
        <v>0</v>
      </c>
      <c r="H358" s="24" cm="1">
        <f t="array" aca="1" ref="H358" ca="1">SUMIFS(CA!$C359:$AQ359,CA!$C$7:$AQ$7,H$6,CA!$C$8:$AQ$8,TRUE)</f>
        <v>0</v>
      </c>
      <c r="I358" s="23" cm="1">
        <f t="array" aca="1" ref="I358" ca="1">SUMIFS(Quantity!$C359:$AH359,Quantity!$C$7:$AH$7,J$6,Quantity!$C$8:$AH$8,TRUE)</f>
        <v>0</v>
      </c>
      <c r="J358" s="25" cm="1">
        <f t="array" aca="1" ref="J358" ca="1">SUMIFS(CA!$C359:$AQ359,CA!$C$7:$AQ$7,J$6,CA!$C$8:$AQ$8,TRUE)</f>
        <v>0</v>
      </c>
      <c r="K358" s="26" t="str" cm="1">
        <f t="array" ref="K358">IF(SUM(Quantity!O359:Z359)=0,"",SUM(Quantity!O359:Z359))</f>
        <v/>
      </c>
      <c r="L358" s="24" t="str" cm="1">
        <f t="array" ref="L358">IF(SUM(CA!O359:Z359)=0,"",SUM(CA!O359:Z359))</f>
        <v/>
      </c>
      <c r="M358" s="23" t="str" cm="1">
        <f t="array" ref="M358">IF(SUM(Quantity!C359:N359)=0,"",SUM(Quantity!C359:N359))</f>
        <v/>
      </c>
      <c r="N358" s="25" t="str" cm="1">
        <f t="array" ref="N358">IF(SUM(CA!C359:N359)=0,"",SUM(CA!C359:N359))</f>
        <v/>
      </c>
    </row>
    <row r="359" spans="1:14" x14ac:dyDescent="0.25">
      <c r="A359" s="1"/>
      <c r="B359" s="22" cm="1">
        <f t="array" ref="B359">Quantity!B360</f>
        <v>0</v>
      </c>
      <c r="C359" s="23" cm="1">
        <f t="array" ref="C359">Quantity!O360</f>
        <v>0</v>
      </c>
      <c r="D359" s="24" cm="1">
        <f t="array" ref="D359">CA!O360</f>
        <v>0</v>
      </c>
      <c r="E359" s="23" cm="1">
        <f t="array" ref="E359">Quantity!C360</f>
        <v>0</v>
      </c>
      <c r="F359" s="25" cm="1">
        <f t="array" ref="F359">CA!C360</f>
        <v>0</v>
      </c>
      <c r="G359" s="26" cm="1">
        <f t="array" aca="1" ref="G359" ca="1">SUMIFS(Quantity!$C360:$AH360,Quantity!$C$7:$AH$7,H$6,Quantity!$C$8:$AH$8,TRUE)</f>
        <v>0</v>
      </c>
      <c r="H359" s="24" cm="1">
        <f t="array" aca="1" ref="H359" ca="1">SUMIFS(CA!$C360:$AQ360,CA!$C$7:$AQ$7,H$6,CA!$C$8:$AQ$8,TRUE)</f>
        <v>0</v>
      </c>
      <c r="I359" s="23" cm="1">
        <f t="array" aca="1" ref="I359" ca="1">SUMIFS(Quantity!$C360:$AH360,Quantity!$C$7:$AH$7,J$6,Quantity!$C$8:$AH$8,TRUE)</f>
        <v>0</v>
      </c>
      <c r="J359" s="25" cm="1">
        <f t="array" aca="1" ref="J359" ca="1">SUMIFS(CA!$C360:$AQ360,CA!$C$7:$AQ$7,J$6,CA!$C$8:$AQ$8,TRUE)</f>
        <v>0</v>
      </c>
      <c r="K359" s="26" t="str" cm="1">
        <f t="array" ref="K359">IF(SUM(Quantity!O360:Z360)=0,"",SUM(Quantity!O360:Z360))</f>
        <v/>
      </c>
      <c r="L359" s="24" t="str" cm="1">
        <f t="array" ref="L359">IF(SUM(CA!O360:Z360)=0,"",SUM(CA!O360:Z360))</f>
        <v/>
      </c>
      <c r="M359" s="23" t="str" cm="1">
        <f t="array" ref="M359">IF(SUM(Quantity!C360:N360)=0,"",SUM(Quantity!C360:N360))</f>
        <v/>
      </c>
      <c r="N359" s="25" t="str" cm="1">
        <f t="array" ref="N359">IF(SUM(CA!C360:N360)=0,"",SUM(CA!C360:N360))</f>
        <v/>
      </c>
    </row>
    <row r="360" spans="1:14" x14ac:dyDescent="0.25">
      <c r="A360" s="1"/>
      <c r="B360" s="22" cm="1">
        <f t="array" ref="B360">Quantity!B361</f>
        <v>0</v>
      </c>
      <c r="C360" s="23" cm="1">
        <f t="array" ref="C360">Quantity!O361</f>
        <v>0</v>
      </c>
      <c r="D360" s="24" cm="1">
        <f t="array" ref="D360">CA!O361</f>
        <v>0</v>
      </c>
      <c r="E360" s="23" cm="1">
        <f t="array" ref="E360">Quantity!C361</f>
        <v>0</v>
      </c>
      <c r="F360" s="25" cm="1">
        <f t="array" ref="F360">CA!C361</f>
        <v>0</v>
      </c>
      <c r="G360" s="26" cm="1">
        <f t="array" aca="1" ref="G360" ca="1">SUMIFS(Quantity!$C361:$AH361,Quantity!$C$7:$AH$7,H$6,Quantity!$C$8:$AH$8,TRUE)</f>
        <v>0</v>
      </c>
      <c r="H360" s="24" cm="1">
        <f t="array" aca="1" ref="H360" ca="1">SUMIFS(CA!$C361:$AQ361,CA!$C$7:$AQ$7,H$6,CA!$C$8:$AQ$8,TRUE)</f>
        <v>0</v>
      </c>
      <c r="I360" s="23" cm="1">
        <f t="array" aca="1" ref="I360" ca="1">SUMIFS(Quantity!$C361:$AH361,Quantity!$C$7:$AH$7,J$6,Quantity!$C$8:$AH$8,TRUE)</f>
        <v>0</v>
      </c>
      <c r="J360" s="25" cm="1">
        <f t="array" aca="1" ref="J360" ca="1">SUMIFS(CA!$C361:$AQ361,CA!$C$7:$AQ$7,J$6,CA!$C$8:$AQ$8,TRUE)</f>
        <v>0</v>
      </c>
      <c r="K360" s="26" t="str" cm="1">
        <f t="array" ref="K360">IF(SUM(Quantity!O361:Z361)=0,"",SUM(Quantity!O361:Z361))</f>
        <v/>
      </c>
      <c r="L360" s="24" t="str" cm="1">
        <f t="array" ref="L360">IF(SUM(CA!O361:Z361)=0,"",SUM(CA!O361:Z361))</f>
        <v/>
      </c>
      <c r="M360" s="23" t="str" cm="1">
        <f t="array" ref="M360">IF(SUM(Quantity!C361:N361)=0,"",SUM(Quantity!C361:N361))</f>
        <v/>
      </c>
      <c r="N360" s="25" t="str" cm="1">
        <f t="array" ref="N360">IF(SUM(CA!C361:N361)=0,"",SUM(CA!C361:N361))</f>
        <v/>
      </c>
    </row>
    <row r="361" spans="1:14" x14ac:dyDescent="0.25">
      <c r="A361" s="1"/>
      <c r="B361" s="22" cm="1">
        <f t="array" ref="B361">Quantity!B362</f>
        <v>0</v>
      </c>
      <c r="C361" s="23" cm="1">
        <f t="array" ref="C361">Quantity!O362</f>
        <v>0</v>
      </c>
      <c r="D361" s="24" cm="1">
        <f t="array" ref="D361">CA!O362</f>
        <v>0</v>
      </c>
      <c r="E361" s="23" cm="1">
        <f t="array" ref="E361">Quantity!C362</f>
        <v>0</v>
      </c>
      <c r="F361" s="25" cm="1">
        <f t="array" ref="F361">CA!C362</f>
        <v>0</v>
      </c>
      <c r="G361" s="26" cm="1">
        <f t="array" aca="1" ref="G361" ca="1">SUMIFS(Quantity!$C362:$AH362,Quantity!$C$7:$AH$7,H$6,Quantity!$C$8:$AH$8,TRUE)</f>
        <v>0</v>
      </c>
      <c r="H361" s="24" cm="1">
        <f t="array" aca="1" ref="H361" ca="1">SUMIFS(CA!$C362:$AQ362,CA!$C$7:$AQ$7,H$6,CA!$C$8:$AQ$8,TRUE)</f>
        <v>0</v>
      </c>
      <c r="I361" s="23" cm="1">
        <f t="array" aca="1" ref="I361" ca="1">SUMIFS(Quantity!$C362:$AH362,Quantity!$C$7:$AH$7,J$6,Quantity!$C$8:$AH$8,TRUE)</f>
        <v>0</v>
      </c>
      <c r="J361" s="25" cm="1">
        <f t="array" aca="1" ref="J361" ca="1">SUMIFS(CA!$C362:$AQ362,CA!$C$7:$AQ$7,J$6,CA!$C$8:$AQ$8,TRUE)</f>
        <v>0</v>
      </c>
      <c r="K361" s="26" t="str" cm="1">
        <f t="array" ref="K361">IF(SUM(Quantity!O362:Z362)=0,"",SUM(Quantity!O362:Z362))</f>
        <v/>
      </c>
      <c r="L361" s="24" t="str" cm="1">
        <f t="array" ref="L361">IF(SUM(CA!O362:Z362)=0,"",SUM(CA!O362:Z362))</f>
        <v/>
      </c>
      <c r="M361" s="23" t="str" cm="1">
        <f t="array" ref="M361">IF(SUM(Quantity!C362:N362)=0,"",SUM(Quantity!C362:N362))</f>
        <v/>
      </c>
      <c r="N361" s="25" t="str" cm="1">
        <f t="array" ref="N361">IF(SUM(CA!C362:N362)=0,"",SUM(CA!C362:N362))</f>
        <v/>
      </c>
    </row>
    <row r="362" spans="1:14" x14ac:dyDescent="0.25">
      <c r="A362" s="1"/>
      <c r="B362" s="22" cm="1">
        <f t="array" ref="B362">Quantity!B363</f>
        <v>0</v>
      </c>
      <c r="C362" s="23" cm="1">
        <f t="array" ref="C362">Quantity!O363</f>
        <v>0</v>
      </c>
      <c r="D362" s="24" cm="1">
        <f t="array" ref="D362">CA!O363</f>
        <v>0</v>
      </c>
      <c r="E362" s="23" cm="1">
        <f t="array" ref="E362">Quantity!C363</f>
        <v>0</v>
      </c>
      <c r="F362" s="25" cm="1">
        <f t="array" ref="F362">CA!C363</f>
        <v>0</v>
      </c>
      <c r="G362" s="26" cm="1">
        <f t="array" aca="1" ref="G362" ca="1">SUMIFS(Quantity!$C363:$AH363,Quantity!$C$7:$AH$7,H$6,Quantity!$C$8:$AH$8,TRUE)</f>
        <v>0</v>
      </c>
      <c r="H362" s="24" cm="1">
        <f t="array" aca="1" ref="H362" ca="1">SUMIFS(CA!$C363:$AQ363,CA!$C$7:$AQ$7,H$6,CA!$C$8:$AQ$8,TRUE)</f>
        <v>0</v>
      </c>
      <c r="I362" s="23" cm="1">
        <f t="array" aca="1" ref="I362" ca="1">SUMIFS(Quantity!$C363:$AH363,Quantity!$C$7:$AH$7,J$6,Quantity!$C$8:$AH$8,TRUE)</f>
        <v>0</v>
      </c>
      <c r="J362" s="25" cm="1">
        <f t="array" aca="1" ref="J362" ca="1">SUMIFS(CA!$C363:$AQ363,CA!$C$7:$AQ$7,J$6,CA!$C$8:$AQ$8,TRUE)</f>
        <v>0</v>
      </c>
      <c r="K362" s="26" t="str" cm="1">
        <f t="array" ref="K362">IF(SUM(Quantity!O363:Z363)=0,"",SUM(Quantity!O363:Z363))</f>
        <v/>
      </c>
      <c r="L362" s="24" t="str" cm="1">
        <f t="array" ref="L362">IF(SUM(CA!O363:Z363)=0,"",SUM(CA!O363:Z363))</f>
        <v/>
      </c>
      <c r="M362" s="23" t="str" cm="1">
        <f t="array" ref="M362">IF(SUM(Quantity!C363:N363)=0,"",SUM(Quantity!C363:N363))</f>
        <v/>
      </c>
      <c r="N362" s="25" t="str" cm="1">
        <f t="array" ref="N362">IF(SUM(CA!C363:N363)=0,"",SUM(CA!C363:N363))</f>
        <v/>
      </c>
    </row>
    <row r="363" spans="1:14" x14ac:dyDescent="0.25">
      <c r="A363" s="1"/>
      <c r="B363" s="22" cm="1">
        <f t="array" ref="B363">Quantity!B364</f>
        <v>0</v>
      </c>
      <c r="C363" s="23" cm="1">
        <f t="array" ref="C363">Quantity!O364</f>
        <v>0</v>
      </c>
      <c r="D363" s="24" cm="1">
        <f t="array" ref="D363">CA!O364</f>
        <v>0</v>
      </c>
      <c r="E363" s="23" cm="1">
        <f t="array" ref="E363">Quantity!C364</f>
        <v>0</v>
      </c>
      <c r="F363" s="25" cm="1">
        <f t="array" ref="F363">CA!C364</f>
        <v>0</v>
      </c>
      <c r="G363" s="26" cm="1">
        <f t="array" aca="1" ref="G363" ca="1">SUMIFS(Quantity!$C364:$AH364,Quantity!$C$7:$AH$7,H$6,Quantity!$C$8:$AH$8,TRUE)</f>
        <v>0</v>
      </c>
      <c r="H363" s="24" cm="1">
        <f t="array" aca="1" ref="H363" ca="1">SUMIFS(CA!$C364:$AQ364,CA!$C$7:$AQ$7,H$6,CA!$C$8:$AQ$8,TRUE)</f>
        <v>0</v>
      </c>
      <c r="I363" s="23" cm="1">
        <f t="array" aca="1" ref="I363" ca="1">SUMIFS(Quantity!$C364:$AH364,Quantity!$C$7:$AH$7,J$6,Quantity!$C$8:$AH$8,TRUE)</f>
        <v>0</v>
      </c>
      <c r="J363" s="25" cm="1">
        <f t="array" aca="1" ref="J363" ca="1">SUMIFS(CA!$C364:$AQ364,CA!$C$7:$AQ$7,J$6,CA!$C$8:$AQ$8,TRUE)</f>
        <v>0</v>
      </c>
      <c r="K363" s="26" t="str" cm="1">
        <f t="array" ref="K363">IF(SUM(Quantity!O364:Z364)=0,"",SUM(Quantity!O364:Z364))</f>
        <v/>
      </c>
      <c r="L363" s="24" t="str" cm="1">
        <f t="array" ref="L363">IF(SUM(CA!O364:Z364)=0,"",SUM(CA!O364:Z364))</f>
        <v/>
      </c>
      <c r="M363" s="23" t="str" cm="1">
        <f t="array" ref="M363">IF(SUM(Quantity!C364:N364)=0,"",SUM(Quantity!C364:N364))</f>
        <v/>
      </c>
      <c r="N363" s="25" t="str" cm="1">
        <f t="array" ref="N363">IF(SUM(CA!C364:N364)=0,"",SUM(CA!C364:N364))</f>
        <v/>
      </c>
    </row>
    <row r="364" spans="1:14" x14ac:dyDescent="0.25">
      <c r="A364" s="1"/>
      <c r="B364" s="22" cm="1">
        <f t="array" ref="B364">Quantity!B365</f>
        <v>0</v>
      </c>
      <c r="C364" s="23" cm="1">
        <f t="array" ref="C364">Quantity!O365</f>
        <v>0</v>
      </c>
      <c r="D364" s="24" cm="1">
        <f t="array" ref="D364">CA!O365</f>
        <v>0</v>
      </c>
      <c r="E364" s="23" cm="1">
        <f t="array" ref="E364">Quantity!C365</f>
        <v>0</v>
      </c>
      <c r="F364" s="25" cm="1">
        <f t="array" ref="F364">CA!C365</f>
        <v>0</v>
      </c>
      <c r="G364" s="26" cm="1">
        <f t="array" aca="1" ref="G364" ca="1">SUMIFS(Quantity!$C365:$AH365,Quantity!$C$7:$AH$7,H$6,Quantity!$C$8:$AH$8,TRUE)</f>
        <v>0</v>
      </c>
      <c r="H364" s="24" cm="1">
        <f t="array" aca="1" ref="H364" ca="1">SUMIFS(CA!$C365:$AQ365,CA!$C$7:$AQ$7,H$6,CA!$C$8:$AQ$8,TRUE)</f>
        <v>0</v>
      </c>
      <c r="I364" s="23" cm="1">
        <f t="array" aca="1" ref="I364" ca="1">SUMIFS(Quantity!$C365:$AH365,Quantity!$C$7:$AH$7,J$6,Quantity!$C$8:$AH$8,TRUE)</f>
        <v>0</v>
      </c>
      <c r="J364" s="25" cm="1">
        <f t="array" aca="1" ref="J364" ca="1">SUMIFS(CA!$C365:$AQ365,CA!$C$7:$AQ$7,J$6,CA!$C$8:$AQ$8,TRUE)</f>
        <v>0</v>
      </c>
      <c r="K364" s="26" t="str" cm="1">
        <f t="array" ref="K364">IF(SUM(Quantity!O365:Z365)=0,"",SUM(Quantity!O365:Z365))</f>
        <v/>
      </c>
      <c r="L364" s="24" t="str" cm="1">
        <f t="array" ref="L364">IF(SUM(CA!O365:Z365)=0,"",SUM(CA!O365:Z365))</f>
        <v/>
      </c>
      <c r="M364" s="23" t="str" cm="1">
        <f t="array" ref="M364">IF(SUM(Quantity!C365:N365)=0,"",SUM(Quantity!C365:N365))</f>
        <v/>
      </c>
      <c r="N364" s="25" t="str" cm="1">
        <f t="array" ref="N364">IF(SUM(CA!C365:N365)=0,"",SUM(CA!C365:N365))</f>
        <v/>
      </c>
    </row>
    <row r="365" spans="1:14" x14ac:dyDescent="0.25">
      <c r="A365" s="1"/>
      <c r="B365" s="22" cm="1">
        <f t="array" ref="B365">Quantity!B366</f>
        <v>0</v>
      </c>
      <c r="C365" s="23" cm="1">
        <f t="array" ref="C365">Quantity!O366</f>
        <v>0</v>
      </c>
      <c r="D365" s="24" cm="1">
        <f t="array" ref="D365">CA!O366</f>
        <v>0</v>
      </c>
      <c r="E365" s="23" cm="1">
        <f t="array" ref="E365">Quantity!C366</f>
        <v>0</v>
      </c>
      <c r="F365" s="25" cm="1">
        <f t="array" ref="F365">CA!C366</f>
        <v>0</v>
      </c>
      <c r="G365" s="26" cm="1">
        <f t="array" aca="1" ref="G365" ca="1">SUMIFS(Quantity!$C366:$AH366,Quantity!$C$7:$AH$7,H$6,Quantity!$C$8:$AH$8,TRUE)</f>
        <v>0</v>
      </c>
      <c r="H365" s="24" cm="1">
        <f t="array" aca="1" ref="H365" ca="1">SUMIFS(CA!$C366:$AQ366,CA!$C$7:$AQ$7,H$6,CA!$C$8:$AQ$8,TRUE)</f>
        <v>0</v>
      </c>
      <c r="I365" s="23" cm="1">
        <f t="array" aca="1" ref="I365" ca="1">SUMIFS(Quantity!$C366:$AH366,Quantity!$C$7:$AH$7,J$6,Quantity!$C$8:$AH$8,TRUE)</f>
        <v>0</v>
      </c>
      <c r="J365" s="25" cm="1">
        <f t="array" aca="1" ref="J365" ca="1">SUMIFS(CA!$C366:$AQ366,CA!$C$7:$AQ$7,J$6,CA!$C$8:$AQ$8,TRUE)</f>
        <v>0</v>
      </c>
      <c r="K365" s="26" t="str" cm="1">
        <f t="array" ref="K365">IF(SUM(Quantity!O366:Z366)=0,"",SUM(Quantity!O366:Z366))</f>
        <v/>
      </c>
      <c r="L365" s="24" t="str" cm="1">
        <f t="array" ref="L365">IF(SUM(CA!O366:Z366)=0,"",SUM(CA!O366:Z366))</f>
        <v/>
      </c>
      <c r="M365" s="23" t="str" cm="1">
        <f t="array" ref="M365">IF(SUM(Quantity!C366:N366)=0,"",SUM(Quantity!C366:N366))</f>
        <v/>
      </c>
      <c r="N365" s="25" t="str" cm="1">
        <f t="array" ref="N365">IF(SUM(CA!C366:N366)=0,"",SUM(CA!C366:N366))</f>
        <v/>
      </c>
    </row>
    <row r="366" spans="1:14" x14ac:dyDescent="0.25">
      <c r="A366" s="1"/>
      <c r="B366" s="22" cm="1">
        <f t="array" ref="B366">Quantity!B367</f>
        <v>0</v>
      </c>
      <c r="C366" s="23" cm="1">
        <f t="array" ref="C366">Quantity!O367</f>
        <v>0</v>
      </c>
      <c r="D366" s="24" cm="1">
        <f t="array" ref="D366">CA!O367</f>
        <v>0</v>
      </c>
      <c r="E366" s="23" cm="1">
        <f t="array" ref="E366">Quantity!C367</f>
        <v>0</v>
      </c>
      <c r="F366" s="25" cm="1">
        <f t="array" ref="F366">CA!C367</f>
        <v>0</v>
      </c>
      <c r="G366" s="26" cm="1">
        <f t="array" aca="1" ref="G366" ca="1">SUMIFS(Quantity!$C367:$AH367,Quantity!$C$7:$AH$7,H$6,Quantity!$C$8:$AH$8,TRUE)</f>
        <v>0</v>
      </c>
      <c r="H366" s="24" cm="1">
        <f t="array" aca="1" ref="H366" ca="1">SUMIFS(CA!$C367:$AQ367,CA!$C$7:$AQ$7,H$6,CA!$C$8:$AQ$8,TRUE)</f>
        <v>0</v>
      </c>
      <c r="I366" s="23" cm="1">
        <f t="array" aca="1" ref="I366" ca="1">SUMIFS(Quantity!$C367:$AH367,Quantity!$C$7:$AH$7,J$6,Quantity!$C$8:$AH$8,TRUE)</f>
        <v>0</v>
      </c>
      <c r="J366" s="25" cm="1">
        <f t="array" aca="1" ref="J366" ca="1">SUMIFS(CA!$C367:$AQ367,CA!$C$7:$AQ$7,J$6,CA!$C$8:$AQ$8,TRUE)</f>
        <v>0</v>
      </c>
      <c r="K366" s="26" t="str" cm="1">
        <f t="array" ref="K366">IF(SUM(Quantity!O367:Z367)=0,"",SUM(Quantity!O367:Z367))</f>
        <v/>
      </c>
      <c r="L366" s="24" t="str" cm="1">
        <f t="array" ref="L366">IF(SUM(CA!O367:Z367)=0,"",SUM(CA!O367:Z367))</f>
        <v/>
      </c>
      <c r="M366" s="23" t="str" cm="1">
        <f t="array" ref="M366">IF(SUM(Quantity!C367:N367)=0,"",SUM(Quantity!C367:N367))</f>
        <v/>
      </c>
      <c r="N366" s="25" t="str" cm="1">
        <f t="array" ref="N366">IF(SUM(CA!C367:N367)=0,"",SUM(CA!C367:N367))</f>
        <v/>
      </c>
    </row>
    <row r="367" spans="1:14" x14ac:dyDescent="0.25">
      <c r="A367" s="1"/>
      <c r="B367" s="22" cm="1">
        <f t="array" ref="B367">Quantity!B368</f>
        <v>0</v>
      </c>
      <c r="C367" s="23" cm="1">
        <f t="array" ref="C367">Quantity!O368</f>
        <v>0</v>
      </c>
      <c r="D367" s="24" cm="1">
        <f t="array" ref="D367">CA!O368</f>
        <v>0</v>
      </c>
      <c r="E367" s="23" cm="1">
        <f t="array" ref="E367">Quantity!C368</f>
        <v>0</v>
      </c>
      <c r="F367" s="25" cm="1">
        <f t="array" ref="F367">CA!C368</f>
        <v>0</v>
      </c>
      <c r="G367" s="26" cm="1">
        <f t="array" aca="1" ref="G367" ca="1">SUMIFS(Quantity!$C368:$AH368,Quantity!$C$7:$AH$7,H$6,Quantity!$C$8:$AH$8,TRUE)</f>
        <v>0</v>
      </c>
      <c r="H367" s="24" cm="1">
        <f t="array" aca="1" ref="H367" ca="1">SUMIFS(CA!$C368:$AQ368,CA!$C$7:$AQ$7,H$6,CA!$C$8:$AQ$8,TRUE)</f>
        <v>0</v>
      </c>
      <c r="I367" s="23" cm="1">
        <f t="array" aca="1" ref="I367" ca="1">SUMIFS(Quantity!$C368:$AH368,Quantity!$C$7:$AH$7,J$6,Quantity!$C$8:$AH$8,TRUE)</f>
        <v>0</v>
      </c>
      <c r="J367" s="25" cm="1">
        <f t="array" aca="1" ref="J367" ca="1">SUMIFS(CA!$C368:$AQ368,CA!$C$7:$AQ$7,J$6,CA!$C$8:$AQ$8,TRUE)</f>
        <v>0</v>
      </c>
      <c r="K367" s="26" t="str" cm="1">
        <f t="array" ref="K367">IF(SUM(Quantity!O368:Z368)=0,"",SUM(Quantity!O368:Z368))</f>
        <v/>
      </c>
      <c r="L367" s="24" t="str" cm="1">
        <f t="array" ref="L367">IF(SUM(CA!O368:Z368)=0,"",SUM(CA!O368:Z368))</f>
        <v/>
      </c>
      <c r="M367" s="23" t="str" cm="1">
        <f t="array" ref="M367">IF(SUM(Quantity!C368:N368)=0,"",SUM(Quantity!C368:N368))</f>
        <v/>
      </c>
      <c r="N367" s="25" t="str" cm="1">
        <f t="array" ref="N367">IF(SUM(CA!C368:N368)=0,"",SUM(CA!C368:N368))</f>
        <v/>
      </c>
    </row>
    <row r="368" spans="1:14" x14ac:dyDescent="0.25">
      <c r="A368" s="1"/>
      <c r="B368" s="22" cm="1">
        <f t="array" ref="B368">Quantity!B369</f>
        <v>0</v>
      </c>
      <c r="C368" s="23" cm="1">
        <f t="array" ref="C368">Quantity!O369</f>
        <v>0</v>
      </c>
      <c r="D368" s="24" cm="1">
        <f t="array" ref="D368">CA!O369</f>
        <v>0</v>
      </c>
      <c r="E368" s="23" cm="1">
        <f t="array" ref="E368">Quantity!C369</f>
        <v>0</v>
      </c>
      <c r="F368" s="25" cm="1">
        <f t="array" ref="F368">CA!C369</f>
        <v>0</v>
      </c>
      <c r="G368" s="26" cm="1">
        <f t="array" aca="1" ref="G368" ca="1">SUMIFS(Quantity!$C369:$AH369,Quantity!$C$7:$AH$7,H$6,Quantity!$C$8:$AH$8,TRUE)</f>
        <v>0</v>
      </c>
      <c r="H368" s="24" cm="1">
        <f t="array" aca="1" ref="H368" ca="1">SUMIFS(CA!$C369:$AQ369,CA!$C$7:$AQ$7,H$6,CA!$C$8:$AQ$8,TRUE)</f>
        <v>0</v>
      </c>
      <c r="I368" s="23" cm="1">
        <f t="array" aca="1" ref="I368" ca="1">SUMIFS(Quantity!$C369:$AH369,Quantity!$C$7:$AH$7,J$6,Quantity!$C$8:$AH$8,TRUE)</f>
        <v>0</v>
      </c>
      <c r="J368" s="25" cm="1">
        <f t="array" aca="1" ref="J368" ca="1">SUMIFS(CA!$C369:$AQ369,CA!$C$7:$AQ$7,J$6,CA!$C$8:$AQ$8,TRUE)</f>
        <v>0</v>
      </c>
      <c r="K368" s="26" t="str" cm="1">
        <f t="array" ref="K368">IF(SUM(Quantity!O369:Z369)=0,"",SUM(Quantity!O369:Z369))</f>
        <v/>
      </c>
      <c r="L368" s="24" t="str" cm="1">
        <f t="array" ref="L368">IF(SUM(CA!O369:Z369)=0,"",SUM(CA!O369:Z369))</f>
        <v/>
      </c>
      <c r="M368" s="23" t="str" cm="1">
        <f t="array" ref="M368">IF(SUM(Quantity!C369:N369)=0,"",SUM(Quantity!C369:N369))</f>
        <v/>
      </c>
      <c r="N368" s="25" t="str" cm="1">
        <f t="array" ref="N368">IF(SUM(CA!C369:N369)=0,"",SUM(CA!C369:N369))</f>
        <v/>
      </c>
    </row>
    <row r="369" spans="1:14" x14ac:dyDescent="0.25">
      <c r="A369" s="1"/>
      <c r="B369" s="22" cm="1">
        <f t="array" ref="B369">Quantity!B370</f>
        <v>0</v>
      </c>
      <c r="C369" s="23" cm="1">
        <f t="array" ref="C369">Quantity!O370</f>
        <v>0</v>
      </c>
      <c r="D369" s="24" cm="1">
        <f t="array" ref="D369">CA!O370</f>
        <v>0</v>
      </c>
      <c r="E369" s="23" cm="1">
        <f t="array" ref="E369">Quantity!C370</f>
        <v>0</v>
      </c>
      <c r="F369" s="25" cm="1">
        <f t="array" ref="F369">CA!C370</f>
        <v>0</v>
      </c>
      <c r="G369" s="26" cm="1">
        <f t="array" aca="1" ref="G369" ca="1">SUMIFS(Quantity!$C370:$AH370,Quantity!$C$7:$AH$7,H$6,Quantity!$C$8:$AH$8,TRUE)</f>
        <v>0</v>
      </c>
      <c r="H369" s="24" cm="1">
        <f t="array" aca="1" ref="H369" ca="1">SUMIFS(CA!$C370:$AQ370,CA!$C$7:$AQ$7,H$6,CA!$C$8:$AQ$8,TRUE)</f>
        <v>0</v>
      </c>
      <c r="I369" s="23" cm="1">
        <f t="array" aca="1" ref="I369" ca="1">SUMIFS(Quantity!$C370:$AH370,Quantity!$C$7:$AH$7,J$6,Quantity!$C$8:$AH$8,TRUE)</f>
        <v>0</v>
      </c>
      <c r="J369" s="25" cm="1">
        <f t="array" aca="1" ref="J369" ca="1">SUMIFS(CA!$C370:$AQ370,CA!$C$7:$AQ$7,J$6,CA!$C$8:$AQ$8,TRUE)</f>
        <v>0</v>
      </c>
      <c r="K369" s="26" t="str" cm="1">
        <f t="array" ref="K369">IF(SUM(Quantity!O370:Z370)=0,"",SUM(Quantity!O370:Z370))</f>
        <v/>
      </c>
      <c r="L369" s="24" t="str" cm="1">
        <f t="array" ref="L369">IF(SUM(CA!O370:Z370)=0,"",SUM(CA!O370:Z370))</f>
        <v/>
      </c>
      <c r="M369" s="23" t="str" cm="1">
        <f t="array" ref="M369">IF(SUM(Quantity!C370:N370)=0,"",SUM(Quantity!C370:N370))</f>
        <v/>
      </c>
      <c r="N369" s="25" t="str" cm="1">
        <f t="array" ref="N369">IF(SUM(CA!C370:N370)=0,"",SUM(CA!C370:N370))</f>
        <v/>
      </c>
    </row>
    <row r="370" spans="1:14" x14ac:dyDescent="0.25">
      <c r="A370" s="1"/>
      <c r="B370" s="22" cm="1">
        <f t="array" ref="B370">Quantity!B371</f>
        <v>0</v>
      </c>
      <c r="C370" s="23" cm="1">
        <f t="array" ref="C370">Quantity!O371</f>
        <v>0</v>
      </c>
      <c r="D370" s="24" cm="1">
        <f t="array" ref="D370">CA!O371</f>
        <v>0</v>
      </c>
      <c r="E370" s="23" cm="1">
        <f t="array" ref="E370">Quantity!C371</f>
        <v>0</v>
      </c>
      <c r="F370" s="25" cm="1">
        <f t="array" ref="F370">CA!C371</f>
        <v>0</v>
      </c>
      <c r="G370" s="26" cm="1">
        <f t="array" aca="1" ref="G370" ca="1">SUMIFS(Quantity!$C371:$AH371,Quantity!$C$7:$AH$7,H$6,Quantity!$C$8:$AH$8,TRUE)</f>
        <v>0</v>
      </c>
      <c r="H370" s="24" cm="1">
        <f t="array" aca="1" ref="H370" ca="1">SUMIFS(CA!$C371:$AQ371,CA!$C$7:$AQ$7,H$6,CA!$C$8:$AQ$8,TRUE)</f>
        <v>0</v>
      </c>
      <c r="I370" s="23" cm="1">
        <f t="array" aca="1" ref="I370" ca="1">SUMIFS(Quantity!$C371:$AH371,Quantity!$C$7:$AH$7,J$6,Quantity!$C$8:$AH$8,TRUE)</f>
        <v>0</v>
      </c>
      <c r="J370" s="25" cm="1">
        <f t="array" aca="1" ref="J370" ca="1">SUMIFS(CA!$C371:$AQ371,CA!$C$7:$AQ$7,J$6,CA!$C$8:$AQ$8,TRUE)</f>
        <v>0</v>
      </c>
      <c r="K370" s="26" t="str" cm="1">
        <f t="array" ref="K370">IF(SUM(Quantity!O371:Z371)=0,"",SUM(Quantity!O371:Z371))</f>
        <v/>
      </c>
      <c r="L370" s="24" t="str" cm="1">
        <f t="array" ref="L370">IF(SUM(CA!O371:Z371)=0,"",SUM(CA!O371:Z371))</f>
        <v/>
      </c>
      <c r="M370" s="23" t="str" cm="1">
        <f t="array" ref="M370">IF(SUM(Quantity!C371:N371)=0,"",SUM(Quantity!C371:N371))</f>
        <v/>
      </c>
      <c r="N370" s="25" t="str" cm="1">
        <f t="array" ref="N370">IF(SUM(CA!C371:N371)=0,"",SUM(CA!C371:N371))</f>
        <v/>
      </c>
    </row>
    <row r="371" spans="1:14" x14ac:dyDescent="0.25">
      <c r="A371" s="1"/>
      <c r="B371" s="22" cm="1">
        <f t="array" ref="B371">Quantity!B372</f>
        <v>0</v>
      </c>
      <c r="C371" s="23" cm="1">
        <f t="array" ref="C371">Quantity!O372</f>
        <v>0</v>
      </c>
      <c r="D371" s="24" cm="1">
        <f t="array" ref="D371">CA!O372</f>
        <v>0</v>
      </c>
      <c r="E371" s="23" cm="1">
        <f t="array" ref="E371">Quantity!C372</f>
        <v>0</v>
      </c>
      <c r="F371" s="25" cm="1">
        <f t="array" ref="F371">CA!C372</f>
        <v>0</v>
      </c>
      <c r="G371" s="26" cm="1">
        <f t="array" aca="1" ref="G371" ca="1">SUMIFS(Quantity!$C372:$AH372,Quantity!$C$7:$AH$7,H$6,Quantity!$C$8:$AH$8,TRUE)</f>
        <v>0</v>
      </c>
      <c r="H371" s="24" cm="1">
        <f t="array" aca="1" ref="H371" ca="1">SUMIFS(CA!$C372:$AQ372,CA!$C$7:$AQ$7,H$6,CA!$C$8:$AQ$8,TRUE)</f>
        <v>0</v>
      </c>
      <c r="I371" s="23" cm="1">
        <f t="array" aca="1" ref="I371" ca="1">SUMIFS(Quantity!$C372:$AH372,Quantity!$C$7:$AH$7,J$6,Quantity!$C$8:$AH$8,TRUE)</f>
        <v>0</v>
      </c>
      <c r="J371" s="25" cm="1">
        <f t="array" aca="1" ref="J371" ca="1">SUMIFS(CA!$C372:$AQ372,CA!$C$7:$AQ$7,J$6,CA!$C$8:$AQ$8,TRUE)</f>
        <v>0</v>
      </c>
      <c r="K371" s="26" t="str" cm="1">
        <f t="array" ref="K371">IF(SUM(Quantity!O372:Z372)=0,"",SUM(Quantity!O372:Z372))</f>
        <v/>
      </c>
      <c r="L371" s="24" t="str" cm="1">
        <f t="array" ref="L371">IF(SUM(CA!O372:Z372)=0,"",SUM(CA!O372:Z372))</f>
        <v/>
      </c>
      <c r="M371" s="23" t="str" cm="1">
        <f t="array" ref="M371">IF(SUM(Quantity!C372:N372)=0,"",SUM(Quantity!C372:N372))</f>
        <v/>
      </c>
      <c r="N371" s="25" t="str" cm="1">
        <f t="array" ref="N371">IF(SUM(CA!C372:N372)=0,"",SUM(CA!C372:N372))</f>
        <v/>
      </c>
    </row>
    <row r="372" spans="1:14" x14ac:dyDescent="0.25">
      <c r="A372" s="1"/>
      <c r="B372" s="22" cm="1">
        <f t="array" ref="B372">Quantity!B373</f>
        <v>0</v>
      </c>
      <c r="C372" s="23" cm="1">
        <f t="array" ref="C372">Quantity!O373</f>
        <v>0</v>
      </c>
      <c r="D372" s="24" cm="1">
        <f t="array" ref="D372">CA!O373</f>
        <v>0</v>
      </c>
      <c r="E372" s="23" cm="1">
        <f t="array" ref="E372">Quantity!C373</f>
        <v>0</v>
      </c>
      <c r="F372" s="25" cm="1">
        <f t="array" ref="F372">CA!C373</f>
        <v>0</v>
      </c>
      <c r="G372" s="26" cm="1">
        <f t="array" aca="1" ref="G372" ca="1">SUMIFS(Quantity!$C373:$AH373,Quantity!$C$7:$AH$7,H$6,Quantity!$C$8:$AH$8,TRUE)</f>
        <v>0</v>
      </c>
      <c r="H372" s="24" cm="1">
        <f t="array" aca="1" ref="H372" ca="1">SUMIFS(CA!$C373:$AQ373,CA!$C$7:$AQ$7,H$6,CA!$C$8:$AQ$8,TRUE)</f>
        <v>0</v>
      </c>
      <c r="I372" s="23" cm="1">
        <f t="array" aca="1" ref="I372" ca="1">SUMIFS(Quantity!$C373:$AH373,Quantity!$C$7:$AH$7,J$6,Quantity!$C$8:$AH$8,TRUE)</f>
        <v>0</v>
      </c>
      <c r="J372" s="25" cm="1">
        <f t="array" aca="1" ref="J372" ca="1">SUMIFS(CA!$C373:$AQ373,CA!$C$7:$AQ$7,J$6,CA!$C$8:$AQ$8,TRUE)</f>
        <v>0</v>
      </c>
      <c r="K372" s="26" t="str" cm="1">
        <f t="array" ref="K372">IF(SUM(Quantity!O373:Z373)=0,"",SUM(Quantity!O373:Z373))</f>
        <v/>
      </c>
      <c r="L372" s="24" t="str" cm="1">
        <f t="array" ref="L372">IF(SUM(CA!O373:Z373)=0,"",SUM(CA!O373:Z373))</f>
        <v/>
      </c>
      <c r="M372" s="23" t="str" cm="1">
        <f t="array" ref="M372">IF(SUM(Quantity!C373:N373)=0,"",SUM(Quantity!C373:N373))</f>
        <v/>
      </c>
      <c r="N372" s="25" t="str" cm="1">
        <f t="array" ref="N372">IF(SUM(CA!C373:N373)=0,"",SUM(CA!C373:N373))</f>
        <v/>
      </c>
    </row>
    <row r="373" spans="1:14" x14ac:dyDescent="0.25">
      <c r="A373" s="1"/>
      <c r="B373" s="22" cm="1">
        <f t="array" ref="B373">Quantity!B374</f>
        <v>0</v>
      </c>
      <c r="C373" s="23" cm="1">
        <f t="array" ref="C373">Quantity!O374</f>
        <v>0</v>
      </c>
      <c r="D373" s="24" cm="1">
        <f t="array" ref="D373">CA!O374</f>
        <v>0</v>
      </c>
      <c r="E373" s="23" cm="1">
        <f t="array" ref="E373">Quantity!C374</f>
        <v>0</v>
      </c>
      <c r="F373" s="25" cm="1">
        <f t="array" ref="F373">CA!C374</f>
        <v>0</v>
      </c>
      <c r="G373" s="26" cm="1">
        <f t="array" aca="1" ref="G373" ca="1">SUMIFS(Quantity!$C374:$AH374,Quantity!$C$7:$AH$7,H$6,Quantity!$C$8:$AH$8,TRUE)</f>
        <v>0</v>
      </c>
      <c r="H373" s="24" cm="1">
        <f t="array" aca="1" ref="H373" ca="1">SUMIFS(CA!$C374:$AQ374,CA!$C$7:$AQ$7,H$6,CA!$C$8:$AQ$8,TRUE)</f>
        <v>0</v>
      </c>
      <c r="I373" s="23" cm="1">
        <f t="array" aca="1" ref="I373" ca="1">SUMIFS(Quantity!$C374:$AH374,Quantity!$C$7:$AH$7,J$6,Quantity!$C$8:$AH$8,TRUE)</f>
        <v>0</v>
      </c>
      <c r="J373" s="25" cm="1">
        <f t="array" aca="1" ref="J373" ca="1">SUMIFS(CA!$C374:$AQ374,CA!$C$7:$AQ$7,J$6,CA!$C$8:$AQ$8,TRUE)</f>
        <v>0</v>
      </c>
      <c r="K373" s="26" t="str" cm="1">
        <f t="array" ref="K373">IF(SUM(Quantity!O374:Z374)=0,"",SUM(Quantity!O374:Z374))</f>
        <v/>
      </c>
      <c r="L373" s="24" t="str" cm="1">
        <f t="array" ref="L373">IF(SUM(CA!O374:Z374)=0,"",SUM(CA!O374:Z374))</f>
        <v/>
      </c>
      <c r="M373" s="23" t="str" cm="1">
        <f t="array" ref="M373">IF(SUM(Quantity!C374:N374)=0,"",SUM(Quantity!C374:N374))</f>
        <v/>
      </c>
      <c r="N373" s="25" t="str" cm="1">
        <f t="array" ref="N373">IF(SUM(CA!C374:N374)=0,"",SUM(CA!C374:N374))</f>
        <v/>
      </c>
    </row>
    <row r="374" spans="1:14" x14ac:dyDescent="0.25">
      <c r="A374" s="1"/>
      <c r="B374" s="22" cm="1">
        <f t="array" ref="B374">Quantity!B375</f>
        <v>0</v>
      </c>
      <c r="C374" s="23" cm="1">
        <f t="array" ref="C374">Quantity!O375</f>
        <v>0</v>
      </c>
      <c r="D374" s="24" cm="1">
        <f t="array" ref="D374">CA!O375</f>
        <v>0</v>
      </c>
      <c r="E374" s="23" cm="1">
        <f t="array" ref="E374">Quantity!C375</f>
        <v>0</v>
      </c>
      <c r="F374" s="25" cm="1">
        <f t="array" ref="F374">CA!C375</f>
        <v>0</v>
      </c>
      <c r="G374" s="26" cm="1">
        <f t="array" aca="1" ref="G374" ca="1">SUMIFS(Quantity!$C375:$AH375,Quantity!$C$7:$AH$7,H$6,Quantity!$C$8:$AH$8,TRUE)</f>
        <v>0</v>
      </c>
      <c r="H374" s="24" cm="1">
        <f t="array" aca="1" ref="H374" ca="1">SUMIFS(CA!$C375:$AQ375,CA!$C$7:$AQ$7,H$6,CA!$C$8:$AQ$8,TRUE)</f>
        <v>0</v>
      </c>
      <c r="I374" s="23" cm="1">
        <f t="array" aca="1" ref="I374" ca="1">SUMIFS(Quantity!$C375:$AH375,Quantity!$C$7:$AH$7,J$6,Quantity!$C$8:$AH$8,TRUE)</f>
        <v>0</v>
      </c>
      <c r="J374" s="25" cm="1">
        <f t="array" aca="1" ref="J374" ca="1">SUMIFS(CA!$C375:$AQ375,CA!$C$7:$AQ$7,J$6,CA!$C$8:$AQ$8,TRUE)</f>
        <v>0</v>
      </c>
      <c r="K374" s="26" t="str" cm="1">
        <f t="array" ref="K374">IF(SUM(Quantity!O375:Z375)=0,"",SUM(Quantity!O375:Z375))</f>
        <v/>
      </c>
      <c r="L374" s="24" t="str" cm="1">
        <f t="array" ref="L374">IF(SUM(CA!O375:Z375)=0,"",SUM(CA!O375:Z375))</f>
        <v/>
      </c>
      <c r="M374" s="23" t="str" cm="1">
        <f t="array" ref="M374">IF(SUM(Quantity!C375:N375)=0,"",SUM(Quantity!C375:N375))</f>
        <v/>
      </c>
      <c r="N374" s="25" t="str" cm="1">
        <f t="array" ref="N374">IF(SUM(CA!C375:N375)=0,"",SUM(CA!C375:N375))</f>
        <v/>
      </c>
    </row>
    <row r="375" spans="1:14" x14ac:dyDescent="0.25">
      <c r="A375" s="1"/>
      <c r="B375" s="22" cm="1">
        <f t="array" ref="B375">Quantity!B376</f>
        <v>0</v>
      </c>
      <c r="C375" s="23" cm="1">
        <f t="array" ref="C375">Quantity!O376</f>
        <v>0</v>
      </c>
      <c r="D375" s="24" cm="1">
        <f t="array" ref="D375">CA!O376</f>
        <v>0</v>
      </c>
      <c r="E375" s="23" cm="1">
        <f t="array" ref="E375">Quantity!C376</f>
        <v>0</v>
      </c>
      <c r="F375" s="25" cm="1">
        <f t="array" ref="F375">CA!C376</f>
        <v>0</v>
      </c>
      <c r="G375" s="26" cm="1">
        <f t="array" aca="1" ref="G375" ca="1">SUMIFS(Quantity!$C376:$AH376,Quantity!$C$7:$AH$7,H$6,Quantity!$C$8:$AH$8,TRUE)</f>
        <v>0</v>
      </c>
      <c r="H375" s="24" cm="1">
        <f t="array" aca="1" ref="H375" ca="1">SUMIFS(CA!$C376:$AQ376,CA!$C$7:$AQ$7,H$6,CA!$C$8:$AQ$8,TRUE)</f>
        <v>0</v>
      </c>
      <c r="I375" s="23" cm="1">
        <f t="array" aca="1" ref="I375" ca="1">SUMIFS(Quantity!$C376:$AH376,Quantity!$C$7:$AH$7,J$6,Quantity!$C$8:$AH$8,TRUE)</f>
        <v>0</v>
      </c>
      <c r="J375" s="25" cm="1">
        <f t="array" aca="1" ref="J375" ca="1">SUMIFS(CA!$C376:$AQ376,CA!$C$7:$AQ$7,J$6,CA!$C$8:$AQ$8,TRUE)</f>
        <v>0</v>
      </c>
      <c r="K375" s="26" t="str" cm="1">
        <f t="array" ref="K375">IF(SUM(Quantity!O376:Z376)=0,"",SUM(Quantity!O376:Z376))</f>
        <v/>
      </c>
      <c r="L375" s="24" t="str" cm="1">
        <f t="array" ref="L375">IF(SUM(CA!O376:Z376)=0,"",SUM(CA!O376:Z376))</f>
        <v/>
      </c>
      <c r="M375" s="23" t="str" cm="1">
        <f t="array" ref="M375">IF(SUM(Quantity!C376:N376)=0,"",SUM(Quantity!C376:N376))</f>
        <v/>
      </c>
      <c r="N375" s="25" t="str" cm="1">
        <f t="array" ref="N375">IF(SUM(CA!C376:N376)=0,"",SUM(CA!C376:N376))</f>
        <v/>
      </c>
    </row>
    <row r="376" spans="1:14" x14ac:dyDescent="0.25">
      <c r="A376" s="1"/>
      <c r="B376" s="22" cm="1">
        <f t="array" ref="B376">Quantity!B377</f>
        <v>0</v>
      </c>
      <c r="C376" s="23" cm="1">
        <f t="array" ref="C376">Quantity!O377</f>
        <v>0</v>
      </c>
      <c r="D376" s="24" cm="1">
        <f t="array" ref="D376">CA!O377</f>
        <v>0</v>
      </c>
      <c r="E376" s="23" cm="1">
        <f t="array" ref="E376">Quantity!C377</f>
        <v>0</v>
      </c>
      <c r="F376" s="25" cm="1">
        <f t="array" ref="F376">CA!C377</f>
        <v>0</v>
      </c>
      <c r="G376" s="26" cm="1">
        <f t="array" aca="1" ref="G376" ca="1">SUMIFS(Quantity!$C377:$AH377,Quantity!$C$7:$AH$7,H$6,Quantity!$C$8:$AH$8,TRUE)</f>
        <v>0</v>
      </c>
      <c r="H376" s="24" cm="1">
        <f t="array" aca="1" ref="H376" ca="1">SUMIFS(CA!$C377:$AQ377,CA!$C$7:$AQ$7,H$6,CA!$C$8:$AQ$8,TRUE)</f>
        <v>0</v>
      </c>
      <c r="I376" s="23" cm="1">
        <f t="array" aca="1" ref="I376" ca="1">SUMIFS(Quantity!$C377:$AH377,Quantity!$C$7:$AH$7,J$6,Quantity!$C$8:$AH$8,TRUE)</f>
        <v>0</v>
      </c>
      <c r="J376" s="25" cm="1">
        <f t="array" aca="1" ref="J376" ca="1">SUMIFS(CA!$C377:$AQ377,CA!$C$7:$AQ$7,J$6,CA!$C$8:$AQ$8,TRUE)</f>
        <v>0</v>
      </c>
      <c r="K376" s="26" t="str" cm="1">
        <f t="array" ref="K376">IF(SUM(Quantity!O377:Z377)=0,"",SUM(Quantity!O377:Z377))</f>
        <v/>
      </c>
      <c r="L376" s="24" t="str" cm="1">
        <f t="array" ref="L376">IF(SUM(CA!O377:Z377)=0,"",SUM(CA!O377:Z377))</f>
        <v/>
      </c>
      <c r="M376" s="23" t="str" cm="1">
        <f t="array" ref="M376">IF(SUM(Quantity!C377:N377)=0,"",SUM(Quantity!C377:N377))</f>
        <v/>
      </c>
      <c r="N376" s="25" t="str" cm="1">
        <f t="array" ref="N376">IF(SUM(CA!C377:N377)=0,"",SUM(CA!C377:N377))</f>
        <v/>
      </c>
    </row>
    <row r="377" spans="1:14" x14ac:dyDescent="0.25">
      <c r="A377" s="1"/>
      <c r="B377" s="22" cm="1">
        <f t="array" ref="B377">Quantity!B378</f>
        <v>0</v>
      </c>
      <c r="C377" s="23" cm="1">
        <f t="array" ref="C377">Quantity!O378</f>
        <v>0</v>
      </c>
      <c r="D377" s="24" cm="1">
        <f t="array" ref="D377">CA!O378</f>
        <v>0</v>
      </c>
      <c r="E377" s="23" cm="1">
        <f t="array" ref="E377">Quantity!C378</f>
        <v>0</v>
      </c>
      <c r="F377" s="25" cm="1">
        <f t="array" ref="F377">CA!C378</f>
        <v>0</v>
      </c>
      <c r="G377" s="26" cm="1">
        <f t="array" aca="1" ref="G377" ca="1">SUMIFS(Quantity!$C378:$AH378,Quantity!$C$7:$AH$7,H$6,Quantity!$C$8:$AH$8,TRUE)</f>
        <v>0</v>
      </c>
      <c r="H377" s="24" cm="1">
        <f t="array" aca="1" ref="H377" ca="1">SUMIFS(CA!$C378:$AQ378,CA!$C$7:$AQ$7,H$6,CA!$C$8:$AQ$8,TRUE)</f>
        <v>0</v>
      </c>
      <c r="I377" s="23" cm="1">
        <f t="array" aca="1" ref="I377" ca="1">SUMIFS(Quantity!$C378:$AH378,Quantity!$C$7:$AH$7,J$6,Quantity!$C$8:$AH$8,TRUE)</f>
        <v>0</v>
      </c>
      <c r="J377" s="25" cm="1">
        <f t="array" aca="1" ref="J377" ca="1">SUMIFS(CA!$C378:$AQ378,CA!$C$7:$AQ$7,J$6,CA!$C$8:$AQ$8,TRUE)</f>
        <v>0</v>
      </c>
      <c r="K377" s="26" t="str" cm="1">
        <f t="array" ref="K377">IF(SUM(Quantity!O378:Z378)=0,"",SUM(Quantity!O378:Z378))</f>
        <v/>
      </c>
      <c r="L377" s="24" t="str" cm="1">
        <f t="array" ref="L377">IF(SUM(CA!O378:Z378)=0,"",SUM(CA!O378:Z378))</f>
        <v/>
      </c>
      <c r="M377" s="23" t="str" cm="1">
        <f t="array" ref="M377">IF(SUM(Quantity!C378:N378)=0,"",SUM(Quantity!C378:N378))</f>
        <v/>
      </c>
      <c r="N377" s="25" t="str" cm="1">
        <f t="array" ref="N377">IF(SUM(CA!C378:N378)=0,"",SUM(CA!C378:N378))</f>
        <v/>
      </c>
    </row>
    <row r="378" spans="1:14" x14ac:dyDescent="0.25">
      <c r="A378" s="1"/>
      <c r="B378" s="22" cm="1">
        <f t="array" ref="B378">Quantity!B379</f>
        <v>0</v>
      </c>
      <c r="C378" s="23" cm="1">
        <f t="array" ref="C378">Quantity!O379</f>
        <v>0</v>
      </c>
      <c r="D378" s="24" cm="1">
        <f t="array" ref="D378">CA!O379</f>
        <v>0</v>
      </c>
      <c r="E378" s="23" cm="1">
        <f t="array" ref="E378">Quantity!C379</f>
        <v>0</v>
      </c>
      <c r="F378" s="25" cm="1">
        <f t="array" ref="F378">CA!C379</f>
        <v>0</v>
      </c>
      <c r="G378" s="26" cm="1">
        <f t="array" aca="1" ref="G378" ca="1">SUMIFS(Quantity!$C379:$AH379,Quantity!$C$7:$AH$7,H$6,Quantity!$C$8:$AH$8,TRUE)</f>
        <v>0</v>
      </c>
      <c r="H378" s="24" cm="1">
        <f t="array" aca="1" ref="H378" ca="1">SUMIFS(CA!$C379:$AQ379,CA!$C$7:$AQ$7,H$6,CA!$C$8:$AQ$8,TRUE)</f>
        <v>0</v>
      </c>
      <c r="I378" s="23" cm="1">
        <f t="array" aca="1" ref="I378" ca="1">SUMIFS(Quantity!$C379:$AH379,Quantity!$C$7:$AH$7,J$6,Quantity!$C$8:$AH$8,TRUE)</f>
        <v>0</v>
      </c>
      <c r="J378" s="25" cm="1">
        <f t="array" aca="1" ref="J378" ca="1">SUMIFS(CA!$C379:$AQ379,CA!$C$7:$AQ$7,J$6,CA!$C$8:$AQ$8,TRUE)</f>
        <v>0</v>
      </c>
      <c r="K378" s="26" t="str" cm="1">
        <f t="array" ref="K378">IF(SUM(Quantity!O379:Z379)=0,"",SUM(Quantity!O379:Z379))</f>
        <v/>
      </c>
      <c r="L378" s="24" t="str" cm="1">
        <f t="array" ref="L378">IF(SUM(CA!O379:Z379)=0,"",SUM(CA!O379:Z379))</f>
        <v/>
      </c>
      <c r="M378" s="23" t="str" cm="1">
        <f t="array" ref="M378">IF(SUM(Quantity!C379:N379)=0,"",SUM(Quantity!C379:N379))</f>
        <v/>
      </c>
      <c r="N378" s="25" t="str" cm="1">
        <f t="array" ref="N378">IF(SUM(CA!C379:N379)=0,"",SUM(CA!C379:N379))</f>
        <v/>
      </c>
    </row>
    <row r="379" spans="1:14" x14ac:dyDescent="0.25">
      <c r="A379" s="1"/>
      <c r="B379" s="22" cm="1">
        <f t="array" ref="B379">Quantity!B380</f>
        <v>0</v>
      </c>
      <c r="C379" s="23" cm="1">
        <f t="array" ref="C379">Quantity!O380</f>
        <v>0</v>
      </c>
      <c r="D379" s="24" cm="1">
        <f t="array" ref="D379">CA!O380</f>
        <v>0</v>
      </c>
      <c r="E379" s="23" cm="1">
        <f t="array" ref="E379">Quantity!C380</f>
        <v>0</v>
      </c>
      <c r="F379" s="25" cm="1">
        <f t="array" ref="F379">CA!C380</f>
        <v>0</v>
      </c>
      <c r="G379" s="26" cm="1">
        <f t="array" aca="1" ref="G379" ca="1">SUMIFS(Quantity!$C380:$AH380,Quantity!$C$7:$AH$7,H$6,Quantity!$C$8:$AH$8,TRUE)</f>
        <v>0</v>
      </c>
      <c r="H379" s="24" cm="1">
        <f t="array" aca="1" ref="H379" ca="1">SUMIFS(CA!$C380:$AQ380,CA!$C$7:$AQ$7,H$6,CA!$C$8:$AQ$8,TRUE)</f>
        <v>0</v>
      </c>
      <c r="I379" s="23" cm="1">
        <f t="array" aca="1" ref="I379" ca="1">SUMIFS(Quantity!$C380:$AH380,Quantity!$C$7:$AH$7,J$6,Quantity!$C$8:$AH$8,TRUE)</f>
        <v>0</v>
      </c>
      <c r="J379" s="25" cm="1">
        <f t="array" aca="1" ref="J379" ca="1">SUMIFS(CA!$C380:$AQ380,CA!$C$7:$AQ$7,J$6,CA!$C$8:$AQ$8,TRUE)</f>
        <v>0</v>
      </c>
      <c r="K379" s="26" t="str" cm="1">
        <f t="array" ref="K379">IF(SUM(Quantity!O380:Z380)=0,"",SUM(Quantity!O380:Z380))</f>
        <v/>
      </c>
      <c r="L379" s="24" t="str" cm="1">
        <f t="array" ref="L379">IF(SUM(CA!O380:Z380)=0,"",SUM(CA!O380:Z380))</f>
        <v/>
      </c>
      <c r="M379" s="23" t="str" cm="1">
        <f t="array" ref="M379">IF(SUM(Quantity!C380:N380)=0,"",SUM(Quantity!C380:N380))</f>
        <v/>
      </c>
      <c r="N379" s="25" t="str" cm="1">
        <f t="array" ref="N379">IF(SUM(CA!C380:N380)=0,"",SUM(CA!C380:N380))</f>
        <v/>
      </c>
    </row>
    <row r="380" spans="1:14" x14ac:dyDescent="0.25">
      <c r="A380" s="1"/>
      <c r="B380" s="22" cm="1">
        <f t="array" ref="B380">Quantity!B381</f>
        <v>0</v>
      </c>
      <c r="C380" s="23" cm="1">
        <f t="array" ref="C380">Quantity!O381</f>
        <v>0</v>
      </c>
      <c r="D380" s="24" cm="1">
        <f t="array" ref="D380">CA!O381</f>
        <v>0</v>
      </c>
      <c r="E380" s="23" cm="1">
        <f t="array" ref="E380">Quantity!C381</f>
        <v>0</v>
      </c>
      <c r="F380" s="25" cm="1">
        <f t="array" ref="F380">CA!C381</f>
        <v>0</v>
      </c>
      <c r="G380" s="26" cm="1">
        <f t="array" aca="1" ref="G380" ca="1">SUMIFS(Quantity!$C381:$AH381,Quantity!$C$7:$AH$7,H$6,Quantity!$C$8:$AH$8,TRUE)</f>
        <v>0</v>
      </c>
      <c r="H380" s="24" cm="1">
        <f t="array" aca="1" ref="H380" ca="1">SUMIFS(CA!$C381:$AQ381,CA!$C$7:$AQ$7,H$6,CA!$C$8:$AQ$8,TRUE)</f>
        <v>0</v>
      </c>
      <c r="I380" s="23" cm="1">
        <f t="array" aca="1" ref="I380" ca="1">SUMIFS(Quantity!$C381:$AH381,Quantity!$C$7:$AH$7,J$6,Quantity!$C$8:$AH$8,TRUE)</f>
        <v>0</v>
      </c>
      <c r="J380" s="25" cm="1">
        <f t="array" aca="1" ref="J380" ca="1">SUMIFS(CA!$C381:$AQ381,CA!$C$7:$AQ$7,J$6,CA!$C$8:$AQ$8,TRUE)</f>
        <v>0</v>
      </c>
      <c r="K380" s="26" t="str" cm="1">
        <f t="array" ref="K380">IF(SUM(Quantity!O381:Z381)=0,"",SUM(Quantity!O381:Z381))</f>
        <v/>
      </c>
      <c r="L380" s="24" t="str" cm="1">
        <f t="array" ref="L380">IF(SUM(CA!O381:Z381)=0,"",SUM(CA!O381:Z381))</f>
        <v/>
      </c>
      <c r="M380" s="23" t="str" cm="1">
        <f t="array" ref="M380">IF(SUM(Quantity!C381:N381)=0,"",SUM(Quantity!C381:N381))</f>
        <v/>
      </c>
      <c r="N380" s="25" t="str" cm="1">
        <f t="array" ref="N380">IF(SUM(CA!C381:N381)=0,"",SUM(CA!C381:N381))</f>
        <v/>
      </c>
    </row>
    <row r="381" spans="1:14" x14ac:dyDescent="0.25">
      <c r="A381" s="1"/>
      <c r="B381" s="22" cm="1">
        <f t="array" ref="B381">Quantity!B382</f>
        <v>0</v>
      </c>
      <c r="C381" s="23" cm="1">
        <f t="array" ref="C381">Quantity!O382</f>
        <v>0</v>
      </c>
      <c r="D381" s="24" cm="1">
        <f t="array" ref="D381">CA!O382</f>
        <v>0</v>
      </c>
      <c r="E381" s="23" cm="1">
        <f t="array" ref="E381">Quantity!C382</f>
        <v>0</v>
      </c>
      <c r="F381" s="25" cm="1">
        <f t="array" ref="F381">CA!C382</f>
        <v>0</v>
      </c>
      <c r="G381" s="26" cm="1">
        <f t="array" aca="1" ref="G381" ca="1">SUMIFS(Quantity!$C382:$AH382,Quantity!$C$7:$AH$7,H$6,Quantity!$C$8:$AH$8,TRUE)</f>
        <v>0</v>
      </c>
      <c r="H381" s="24" cm="1">
        <f t="array" aca="1" ref="H381" ca="1">SUMIFS(CA!$C382:$AQ382,CA!$C$7:$AQ$7,H$6,CA!$C$8:$AQ$8,TRUE)</f>
        <v>0</v>
      </c>
      <c r="I381" s="23" cm="1">
        <f t="array" aca="1" ref="I381" ca="1">SUMIFS(Quantity!$C382:$AH382,Quantity!$C$7:$AH$7,J$6,Quantity!$C$8:$AH$8,TRUE)</f>
        <v>0</v>
      </c>
      <c r="J381" s="25" cm="1">
        <f t="array" aca="1" ref="J381" ca="1">SUMIFS(CA!$C382:$AQ382,CA!$C$7:$AQ$7,J$6,CA!$C$8:$AQ$8,TRUE)</f>
        <v>0</v>
      </c>
      <c r="K381" s="26" t="str" cm="1">
        <f t="array" ref="K381">IF(SUM(Quantity!O382:Z382)=0,"",SUM(Quantity!O382:Z382))</f>
        <v/>
      </c>
      <c r="L381" s="24" t="str" cm="1">
        <f t="array" ref="L381">IF(SUM(CA!O382:Z382)=0,"",SUM(CA!O382:Z382))</f>
        <v/>
      </c>
      <c r="M381" s="23" t="str" cm="1">
        <f t="array" ref="M381">IF(SUM(Quantity!C382:N382)=0,"",SUM(Quantity!C382:N382))</f>
        <v/>
      </c>
      <c r="N381" s="25" t="str" cm="1">
        <f t="array" ref="N381">IF(SUM(CA!C382:N382)=0,"",SUM(CA!C382:N382))</f>
        <v/>
      </c>
    </row>
    <row r="382" spans="1:14" x14ac:dyDescent="0.25">
      <c r="A382" s="1"/>
      <c r="B382" s="22" cm="1">
        <f t="array" ref="B382">Quantity!B383</f>
        <v>0</v>
      </c>
      <c r="C382" s="23" cm="1">
        <f t="array" ref="C382">Quantity!O383</f>
        <v>0</v>
      </c>
      <c r="D382" s="24" cm="1">
        <f t="array" ref="D382">CA!O383</f>
        <v>0</v>
      </c>
      <c r="E382" s="23" cm="1">
        <f t="array" ref="E382">Quantity!C383</f>
        <v>0</v>
      </c>
      <c r="F382" s="25" cm="1">
        <f t="array" ref="F382">CA!C383</f>
        <v>0</v>
      </c>
      <c r="G382" s="26" cm="1">
        <f t="array" aca="1" ref="G382" ca="1">SUMIFS(Quantity!$C383:$AH383,Quantity!$C$7:$AH$7,H$6,Quantity!$C$8:$AH$8,TRUE)</f>
        <v>0</v>
      </c>
      <c r="H382" s="24" cm="1">
        <f t="array" aca="1" ref="H382" ca="1">SUMIFS(CA!$C383:$AQ383,CA!$C$7:$AQ$7,H$6,CA!$C$8:$AQ$8,TRUE)</f>
        <v>0</v>
      </c>
      <c r="I382" s="23" cm="1">
        <f t="array" aca="1" ref="I382" ca="1">SUMIFS(Quantity!$C383:$AH383,Quantity!$C$7:$AH$7,J$6,Quantity!$C$8:$AH$8,TRUE)</f>
        <v>0</v>
      </c>
      <c r="J382" s="25" cm="1">
        <f t="array" aca="1" ref="J382" ca="1">SUMIFS(CA!$C383:$AQ383,CA!$C$7:$AQ$7,J$6,CA!$C$8:$AQ$8,TRUE)</f>
        <v>0</v>
      </c>
      <c r="K382" s="26" t="str" cm="1">
        <f t="array" ref="K382">IF(SUM(Quantity!O383:Z383)=0,"",SUM(Quantity!O383:Z383))</f>
        <v/>
      </c>
      <c r="L382" s="24" t="str" cm="1">
        <f t="array" ref="L382">IF(SUM(CA!O383:Z383)=0,"",SUM(CA!O383:Z383))</f>
        <v/>
      </c>
      <c r="M382" s="23" t="str" cm="1">
        <f t="array" ref="M382">IF(SUM(Quantity!C383:N383)=0,"",SUM(Quantity!C383:N383))</f>
        <v/>
      </c>
      <c r="N382" s="25" t="str" cm="1">
        <f t="array" ref="N382">IF(SUM(CA!C383:N383)=0,"",SUM(CA!C383:N383))</f>
        <v/>
      </c>
    </row>
    <row r="383" spans="1:14" x14ac:dyDescent="0.25">
      <c r="A383" s="1"/>
      <c r="B383" s="22" cm="1">
        <f t="array" ref="B383">Quantity!B384</f>
        <v>0</v>
      </c>
      <c r="C383" s="23" cm="1">
        <f t="array" ref="C383">Quantity!O384</f>
        <v>0</v>
      </c>
      <c r="D383" s="24" cm="1">
        <f t="array" ref="D383">CA!O384</f>
        <v>0</v>
      </c>
      <c r="E383" s="23" cm="1">
        <f t="array" ref="E383">Quantity!C384</f>
        <v>0</v>
      </c>
      <c r="F383" s="25" cm="1">
        <f t="array" ref="F383">CA!C384</f>
        <v>0</v>
      </c>
      <c r="G383" s="26" cm="1">
        <f t="array" aca="1" ref="G383" ca="1">SUMIFS(Quantity!$C384:$AH384,Quantity!$C$7:$AH$7,H$6,Quantity!$C$8:$AH$8,TRUE)</f>
        <v>0</v>
      </c>
      <c r="H383" s="24" cm="1">
        <f t="array" aca="1" ref="H383" ca="1">SUMIFS(CA!$C384:$AQ384,CA!$C$7:$AQ$7,H$6,CA!$C$8:$AQ$8,TRUE)</f>
        <v>0</v>
      </c>
      <c r="I383" s="23" cm="1">
        <f t="array" aca="1" ref="I383" ca="1">SUMIFS(Quantity!$C384:$AH384,Quantity!$C$7:$AH$7,J$6,Quantity!$C$8:$AH$8,TRUE)</f>
        <v>0</v>
      </c>
      <c r="J383" s="25" cm="1">
        <f t="array" aca="1" ref="J383" ca="1">SUMIFS(CA!$C384:$AQ384,CA!$C$7:$AQ$7,J$6,CA!$C$8:$AQ$8,TRUE)</f>
        <v>0</v>
      </c>
      <c r="K383" s="26" t="str" cm="1">
        <f t="array" ref="K383">IF(SUM(Quantity!O384:Z384)=0,"",SUM(Quantity!O384:Z384))</f>
        <v/>
      </c>
      <c r="L383" s="24" t="str" cm="1">
        <f t="array" ref="L383">IF(SUM(CA!O384:Z384)=0,"",SUM(CA!O384:Z384))</f>
        <v/>
      </c>
      <c r="M383" s="23" t="str" cm="1">
        <f t="array" ref="M383">IF(SUM(Quantity!C384:N384)=0,"",SUM(Quantity!C384:N384))</f>
        <v/>
      </c>
      <c r="N383" s="25" t="str" cm="1">
        <f t="array" ref="N383">IF(SUM(CA!C384:N384)=0,"",SUM(CA!C384:N384))</f>
        <v/>
      </c>
    </row>
    <row r="384" spans="1:14" x14ac:dyDescent="0.25">
      <c r="A384" s="1"/>
      <c r="B384" s="22" cm="1">
        <f t="array" ref="B384">Quantity!B385</f>
        <v>0</v>
      </c>
      <c r="C384" s="23" cm="1">
        <f t="array" ref="C384">Quantity!O385</f>
        <v>0</v>
      </c>
      <c r="D384" s="24" cm="1">
        <f t="array" ref="D384">CA!O385</f>
        <v>0</v>
      </c>
      <c r="E384" s="23" cm="1">
        <f t="array" ref="E384">Quantity!C385</f>
        <v>0</v>
      </c>
      <c r="F384" s="25" cm="1">
        <f t="array" ref="F384">CA!C385</f>
        <v>0</v>
      </c>
      <c r="G384" s="26" cm="1">
        <f t="array" aca="1" ref="G384" ca="1">SUMIFS(Quantity!$C385:$AH385,Quantity!$C$7:$AH$7,H$6,Quantity!$C$8:$AH$8,TRUE)</f>
        <v>0</v>
      </c>
      <c r="H384" s="24" cm="1">
        <f t="array" aca="1" ref="H384" ca="1">SUMIFS(CA!$C385:$AQ385,CA!$C$7:$AQ$7,H$6,CA!$C$8:$AQ$8,TRUE)</f>
        <v>0</v>
      </c>
      <c r="I384" s="23" cm="1">
        <f t="array" aca="1" ref="I384" ca="1">SUMIFS(Quantity!$C385:$AH385,Quantity!$C$7:$AH$7,J$6,Quantity!$C$8:$AH$8,TRUE)</f>
        <v>0</v>
      </c>
      <c r="J384" s="25" cm="1">
        <f t="array" aca="1" ref="J384" ca="1">SUMIFS(CA!$C385:$AQ385,CA!$C$7:$AQ$7,J$6,CA!$C$8:$AQ$8,TRUE)</f>
        <v>0</v>
      </c>
      <c r="K384" s="26" t="str" cm="1">
        <f t="array" ref="K384">IF(SUM(Quantity!O385:Z385)=0,"",SUM(Quantity!O385:Z385))</f>
        <v/>
      </c>
      <c r="L384" s="24" t="str" cm="1">
        <f t="array" ref="L384">IF(SUM(CA!O385:Z385)=0,"",SUM(CA!O385:Z385))</f>
        <v/>
      </c>
      <c r="M384" s="23" t="str" cm="1">
        <f t="array" ref="M384">IF(SUM(Quantity!C385:N385)=0,"",SUM(Quantity!C385:N385))</f>
        <v/>
      </c>
      <c r="N384" s="25" t="str" cm="1">
        <f t="array" ref="N384">IF(SUM(CA!C385:N385)=0,"",SUM(CA!C385:N385))</f>
        <v/>
      </c>
    </row>
    <row r="385" spans="1:14" x14ac:dyDescent="0.25">
      <c r="A385" s="1"/>
      <c r="B385" s="22" cm="1">
        <f t="array" ref="B385">Quantity!B386</f>
        <v>0</v>
      </c>
      <c r="C385" s="23" cm="1">
        <f t="array" ref="C385">Quantity!O386</f>
        <v>0</v>
      </c>
      <c r="D385" s="24" cm="1">
        <f t="array" ref="D385">CA!O386</f>
        <v>0</v>
      </c>
      <c r="E385" s="23" cm="1">
        <f t="array" ref="E385">Quantity!C386</f>
        <v>0</v>
      </c>
      <c r="F385" s="25" cm="1">
        <f t="array" ref="F385">CA!C386</f>
        <v>0</v>
      </c>
      <c r="G385" s="26" cm="1">
        <f t="array" aca="1" ref="G385" ca="1">SUMIFS(Quantity!$C386:$AH386,Quantity!$C$7:$AH$7,H$6,Quantity!$C$8:$AH$8,TRUE)</f>
        <v>0</v>
      </c>
      <c r="H385" s="24" cm="1">
        <f t="array" aca="1" ref="H385" ca="1">SUMIFS(CA!$C386:$AQ386,CA!$C$7:$AQ$7,H$6,CA!$C$8:$AQ$8,TRUE)</f>
        <v>0</v>
      </c>
      <c r="I385" s="23" cm="1">
        <f t="array" aca="1" ref="I385" ca="1">SUMIFS(Quantity!$C386:$AH386,Quantity!$C$7:$AH$7,J$6,Quantity!$C$8:$AH$8,TRUE)</f>
        <v>0</v>
      </c>
      <c r="J385" s="25" cm="1">
        <f t="array" aca="1" ref="J385" ca="1">SUMIFS(CA!$C386:$AQ386,CA!$C$7:$AQ$7,J$6,CA!$C$8:$AQ$8,TRUE)</f>
        <v>0</v>
      </c>
      <c r="K385" s="26" t="str" cm="1">
        <f t="array" ref="K385">IF(SUM(Quantity!O386:Z386)=0,"",SUM(Quantity!O386:Z386))</f>
        <v/>
      </c>
      <c r="L385" s="24" t="str" cm="1">
        <f t="array" ref="L385">IF(SUM(CA!O386:Z386)=0,"",SUM(CA!O386:Z386))</f>
        <v/>
      </c>
      <c r="M385" s="23" t="str" cm="1">
        <f t="array" ref="M385">IF(SUM(Quantity!C386:N386)=0,"",SUM(Quantity!C386:N386))</f>
        <v/>
      </c>
      <c r="N385" s="25" t="str" cm="1">
        <f t="array" ref="N385">IF(SUM(CA!C386:N386)=0,"",SUM(CA!C386:N386))</f>
        <v/>
      </c>
    </row>
    <row r="386" spans="1:14" x14ac:dyDescent="0.25">
      <c r="A386" s="1"/>
      <c r="B386" s="22" cm="1">
        <f t="array" ref="B386">Quantity!B387</f>
        <v>0</v>
      </c>
      <c r="C386" s="23" cm="1">
        <f t="array" ref="C386">Quantity!O387</f>
        <v>0</v>
      </c>
      <c r="D386" s="24" cm="1">
        <f t="array" ref="D386">CA!O387</f>
        <v>0</v>
      </c>
      <c r="E386" s="23" cm="1">
        <f t="array" ref="E386">Quantity!C387</f>
        <v>0</v>
      </c>
      <c r="F386" s="25" cm="1">
        <f t="array" ref="F386">CA!C387</f>
        <v>0</v>
      </c>
      <c r="G386" s="26" cm="1">
        <f t="array" aca="1" ref="G386" ca="1">SUMIFS(Quantity!$C387:$AH387,Quantity!$C$7:$AH$7,H$6,Quantity!$C$8:$AH$8,TRUE)</f>
        <v>0</v>
      </c>
      <c r="H386" s="24" cm="1">
        <f t="array" aca="1" ref="H386" ca="1">SUMIFS(CA!$C387:$AQ387,CA!$C$7:$AQ$7,H$6,CA!$C$8:$AQ$8,TRUE)</f>
        <v>0</v>
      </c>
      <c r="I386" s="23" cm="1">
        <f t="array" aca="1" ref="I386" ca="1">SUMIFS(Quantity!$C387:$AH387,Quantity!$C$7:$AH$7,J$6,Quantity!$C$8:$AH$8,TRUE)</f>
        <v>0</v>
      </c>
      <c r="J386" s="25" cm="1">
        <f t="array" aca="1" ref="J386" ca="1">SUMIFS(CA!$C387:$AQ387,CA!$C$7:$AQ$7,J$6,CA!$C$8:$AQ$8,TRUE)</f>
        <v>0</v>
      </c>
      <c r="K386" s="26" t="str" cm="1">
        <f t="array" ref="K386">IF(SUM(Quantity!O387:Z387)=0,"",SUM(Quantity!O387:Z387))</f>
        <v/>
      </c>
      <c r="L386" s="24" t="str" cm="1">
        <f t="array" ref="L386">IF(SUM(CA!O387:Z387)=0,"",SUM(CA!O387:Z387))</f>
        <v/>
      </c>
      <c r="M386" s="23" t="str" cm="1">
        <f t="array" ref="M386">IF(SUM(Quantity!C387:N387)=0,"",SUM(Quantity!C387:N387))</f>
        <v/>
      </c>
      <c r="N386" s="25" t="str" cm="1">
        <f t="array" ref="N386">IF(SUM(CA!C387:N387)=0,"",SUM(CA!C387:N387))</f>
        <v/>
      </c>
    </row>
    <row r="387" spans="1:14" x14ac:dyDescent="0.25">
      <c r="A387" s="1"/>
      <c r="B387" s="22" cm="1">
        <f t="array" ref="B387">Quantity!B388</f>
        <v>0</v>
      </c>
      <c r="C387" s="23" cm="1">
        <f t="array" ref="C387">Quantity!O388</f>
        <v>0</v>
      </c>
      <c r="D387" s="24" cm="1">
        <f t="array" ref="D387">CA!O388</f>
        <v>0</v>
      </c>
      <c r="E387" s="23" cm="1">
        <f t="array" ref="E387">Quantity!C388</f>
        <v>0</v>
      </c>
      <c r="F387" s="25" cm="1">
        <f t="array" ref="F387">CA!C388</f>
        <v>0</v>
      </c>
      <c r="G387" s="26" cm="1">
        <f t="array" aca="1" ref="G387" ca="1">SUMIFS(Quantity!$C388:$AH388,Quantity!$C$7:$AH$7,H$6,Quantity!$C$8:$AH$8,TRUE)</f>
        <v>0</v>
      </c>
      <c r="H387" s="24" cm="1">
        <f t="array" aca="1" ref="H387" ca="1">SUMIFS(CA!$C388:$AQ388,CA!$C$7:$AQ$7,H$6,CA!$C$8:$AQ$8,TRUE)</f>
        <v>0</v>
      </c>
      <c r="I387" s="23" cm="1">
        <f t="array" aca="1" ref="I387" ca="1">SUMIFS(Quantity!$C388:$AH388,Quantity!$C$7:$AH$7,J$6,Quantity!$C$8:$AH$8,TRUE)</f>
        <v>0</v>
      </c>
      <c r="J387" s="25" cm="1">
        <f t="array" aca="1" ref="J387" ca="1">SUMIFS(CA!$C388:$AQ388,CA!$C$7:$AQ$7,J$6,CA!$C$8:$AQ$8,TRUE)</f>
        <v>0</v>
      </c>
      <c r="K387" s="26" t="str" cm="1">
        <f t="array" ref="K387">IF(SUM(Quantity!O388:Z388)=0,"",SUM(Quantity!O388:Z388))</f>
        <v/>
      </c>
      <c r="L387" s="24" t="str" cm="1">
        <f t="array" ref="L387">IF(SUM(CA!O388:Z388)=0,"",SUM(CA!O388:Z388))</f>
        <v/>
      </c>
      <c r="M387" s="23" t="str" cm="1">
        <f t="array" ref="M387">IF(SUM(Quantity!C388:N388)=0,"",SUM(Quantity!C388:N388))</f>
        <v/>
      </c>
      <c r="N387" s="25" t="str" cm="1">
        <f t="array" ref="N387">IF(SUM(CA!C388:N388)=0,"",SUM(CA!C388:N388))</f>
        <v/>
      </c>
    </row>
    <row r="388" spans="1:14" x14ac:dyDescent="0.25">
      <c r="A388" s="1"/>
      <c r="B388" s="22" cm="1">
        <f t="array" ref="B388">Quantity!B389</f>
        <v>0</v>
      </c>
      <c r="C388" s="23" cm="1">
        <f t="array" ref="C388">Quantity!O389</f>
        <v>0</v>
      </c>
      <c r="D388" s="24" cm="1">
        <f t="array" ref="D388">CA!O389</f>
        <v>0</v>
      </c>
      <c r="E388" s="23" cm="1">
        <f t="array" ref="E388">Quantity!C389</f>
        <v>0</v>
      </c>
      <c r="F388" s="25" cm="1">
        <f t="array" ref="F388">CA!C389</f>
        <v>0</v>
      </c>
      <c r="G388" s="26" cm="1">
        <f t="array" aca="1" ref="G388" ca="1">SUMIFS(Quantity!$C389:$AH389,Quantity!$C$7:$AH$7,H$6,Quantity!$C$8:$AH$8,TRUE)</f>
        <v>0</v>
      </c>
      <c r="H388" s="24" cm="1">
        <f t="array" aca="1" ref="H388" ca="1">SUMIFS(CA!$C389:$AQ389,CA!$C$7:$AQ$7,H$6,CA!$C$8:$AQ$8,TRUE)</f>
        <v>0</v>
      </c>
      <c r="I388" s="23" cm="1">
        <f t="array" aca="1" ref="I388" ca="1">SUMIFS(Quantity!$C389:$AH389,Quantity!$C$7:$AH$7,J$6,Quantity!$C$8:$AH$8,TRUE)</f>
        <v>0</v>
      </c>
      <c r="J388" s="25" cm="1">
        <f t="array" aca="1" ref="J388" ca="1">SUMIFS(CA!$C389:$AQ389,CA!$C$7:$AQ$7,J$6,CA!$C$8:$AQ$8,TRUE)</f>
        <v>0</v>
      </c>
      <c r="K388" s="26" t="str" cm="1">
        <f t="array" ref="K388">IF(SUM(Quantity!O389:Z389)=0,"",SUM(Quantity!O389:Z389))</f>
        <v/>
      </c>
      <c r="L388" s="24" t="str" cm="1">
        <f t="array" ref="L388">IF(SUM(CA!O389:Z389)=0,"",SUM(CA!O389:Z389))</f>
        <v/>
      </c>
      <c r="M388" s="23" t="str" cm="1">
        <f t="array" ref="M388">IF(SUM(Quantity!C389:N389)=0,"",SUM(Quantity!C389:N389))</f>
        <v/>
      </c>
      <c r="N388" s="25" t="str" cm="1">
        <f t="array" ref="N388">IF(SUM(CA!C389:N389)=0,"",SUM(CA!C389:N389))</f>
        <v/>
      </c>
    </row>
    <row r="389" spans="1:14" x14ac:dyDescent="0.25">
      <c r="A389" s="1"/>
      <c r="B389" s="22" cm="1">
        <f t="array" ref="B389">Quantity!B390</f>
        <v>0</v>
      </c>
      <c r="C389" s="23" cm="1">
        <f t="array" ref="C389">Quantity!O390</f>
        <v>0</v>
      </c>
      <c r="D389" s="24" cm="1">
        <f t="array" ref="D389">CA!O390</f>
        <v>0</v>
      </c>
      <c r="E389" s="23" cm="1">
        <f t="array" ref="E389">Quantity!C390</f>
        <v>0</v>
      </c>
      <c r="F389" s="25" cm="1">
        <f t="array" ref="F389">CA!C390</f>
        <v>0</v>
      </c>
      <c r="G389" s="26" cm="1">
        <f t="array" aca="1" ref="G389" ca="1">SUMIFS(Quantity!$C390:$AH390,Quantity!$C$7:$AH$7,H$6,Quantity!$C$8:$AH$8,TRUE)</f>
        <v>0</v>
      </c>
      <c r="H389" s="24" cm="1">
        <f t="array" aca="1" ref="H389" ca="1">SUMIFS(CA!$C390:$AQ390,CA!$C$7:$AQ$7,H$6,CA!$C$8:$AQ$8,TRUE)</f>
        <v>0</v>
      </c>
      <c r="I389" s="23" cm="1">
        <f t="array" aca="1" ref="I389" ca="1">SUMIFS(Quantity!$C390:$AH390,Quantity!$C$7:$AH$7,J$6,Quantity!$C$8:$AH$8,TRUE)</f>
        <v>0</v>
      </c>
      <c r="J389" s="25" cm="1">
        <f t="array" aca="1" ref="J389" ca="1">SUMIFS(CA!$C390:$AQ390,CA!$C$7:$AQ$7,J$6,CA!$C$8:$AQ$8,TRUE)</f>
        <v>0</v>
      </c>
      <c r="K389" s="26" t="str" cm="1">
        <f t="array" ref="K389">IF(SUM(Quantity!O390:Z390)=0,"",SUM(Quantity!O390:Z390))</f>
        <v/>
      </c>
      <c r="L389" s="24" t="str" cm="1">
        <f t="array" ref="L389">IF(SUM(CA!O390:Z390)=0,"",SUM(CA!O390:Z390))</f>
        <v/>
      </c>
      <c r="M389" s="23" t="str" cm="1">
        <f t="array" ref="M389">IF(SUM(Quantity!C390:N390)=0,"",SUM(Quantity!C390:N390))</f>
        <v/>
      </c>
      <c r="N389" s="25" t="str" cm="1">
        <f t="array" ref="N389">IF(SUM(CA!C390:N390)=0,"",SUM(CA!C390:N390))</f>
        <v/>
      </c>
    </row>
    <row r="390" spans="1:14" x14ac:dyDescent="0.25">
      <c r="A390" s="1"/>
      <c r="B390" s="22" cm="1">
        <f t="array" ref="B390">Quantity!B391</f>
        <v>0</v>
      </c>
      <c r="C390" s="23" cm="1">
        <f t="array" ref="C390">Quantity!O391</f>
        <v>0</v>
      </c>
      <c r="D390" s="24" cm="1">
        <f t="array" ref="D390">CA!O391</f>
        <v>0</v>
      </c>
      <c r="E390" s="23" cm="1">
        <f t="array" ref="E390">Quantity!C391</f>
        <v>0</v>
      </c>
      <c r="F390" s="25" cm="1">
        <f t="array" ref="F390">CA!C391</f>
        <v>0</v>
      </c>
      <c r="G390" s="26" cm="1">
        <f t="array" aca="1" ref="G390" ca="1">SUMIFS(Quantity!$C391:$AH391,Quantity!$C$7:$AH$7,H$6,Quantity!$C$8:$AH$8,TRUE)</f>
        <v>0</v>
      </c>
      <c r="H390" s="24" cm="1">
        <f t="array" aca="1" ref="H390" ca="1">SUMIFS(CA!$C391:$AQ391,CA!$C$7:$AQ$7,H$6,CA!$C$8:$AQ$8,TRUE)</f>
        <v>0</v>
      </c>
      <c r="I390" s="23" cm="1">
        <f t="array" aca="1" ref="I390" ca="1">SUMIFS(Quantity!$C391:$AH391,Quantity!$C$7:$AH$7,J$6,Quantity!$C$8:$AH$8,TRUE)</f>
        <v>0</v>
      </c>
      <c r="J390" s="25" cm="1">
        <f t="array" aca="1" ref="J390" ca="1">SUMIFS(CA!$C391:$AQ391,CA!$C$7:$AQ$7,J$6,CA!$C$8:$AQ$8,TRUE)</f>
        <v>0</v>
      </c>
      <c r="K390" s="26" t="str" cm="1">
        <f t="array" ref="K390">IF(SUM(Quantity!O391:Z391)=0,"",SUM(Quantity!O391:Z391))</f>
        <v/>
      </c>
      <c r="L390" s="24" t="str" cm="1">
        <f t="array" ref="L390">IF(SUM(CA!O391:Z391)=0,"",SUM(CA!O391:Z391))</f>
        <v/>
      </c>
      <c r="M390" s="23" t="str" cm="1">
        <f t="array" ref="M390">IF(SUM(Quantity!C391:N391)=0,"",SUM(Quantity!C391:N391))</f>
        <v/>
      </c>
      <c r="N390" s="25" t="str" cm="1">
        <f t="array" ref="N390">IF(SUM(CA!C391:N391)=0,"",SUM(CA!C391:N391))</f>
        <v/>
      </c>
    </row>
    <row r="391" spans="1:14" x14ac:dyDescent="0.25">
      <c r="A391" s="1"/>
      <c r="B391" s="22" cm="1">
        <f t="array" ref="B391">Quantity!B392</f>
        <v>0</v>
      </c>
      <c r="C391" s="23" cm="1">
        <f t="array" ref="C391">Quantity!O392</f>
        <v>0</v>
      </c>
      <c r="D391" s="24" cm="1">
        <f t="array" ref="D391">CA!O392</f>
        <v>0</v>
      </c>
      <c r="E391" s="23" cm="1">
        <f t="array" ref="E391">Quantity!C392</f>
        <v>0</v>
      </c>
      <c r="F391" s="25" cm="1">
        <f t="array" ref="F391">CA!C392</f>
        <v>0</v>
      </c>
      <c r="G391" s="26" cm="1">
        <f t="array" aca="1" ref="G391" ca="1">SUMIFS(Quantity!$C392:$AH392,Quantity!$C$7:$AH$7,H$6,Quantity!$C$8:$AH$8,TRUE)</f>
        <v>0</v>
      </c>
      <c r="H391" s="24" cm="1">
        <f t="array" aca="1" ref="H391" ca="1">SUMIFS(CA!$C392:$AQ392,CA!$C$7:$AQ$7,H$6,CA!$C$8:$AQ$8,TRUE)</f>
        <v>0</v>
      </c>
      <c r="I391" s="23" cm="1">
        <f t="array" aca="1" ref="I391" ca="1">SUMIFS(Quantity!$C392:$AH392,Quantity!$C$7:$AH$7,J$6,Quantity!$C$8:$AH$8,TRUE)</f>
        <v>0</v>
      </c>
      <c r="J391" s="25" cm="1">
        <f t="array" aca="1" ref="J391" ca="1">SUMIFS(CA!$C392:$AQ392,CA!$C$7:$AQ$7,J$6,CA!$C$8:$AQ$8,TRUE)</f>
        <v>0</v>
      </c>
      <c r="K391" s="26" t="str" cm="1">
        <f t="array" ref="K391">IF(SUM(Quantity!O392:Z392)=0,"",SUM(Quantity!O392:Z392))</f>
        <v/>
      </c>
      <c r="L391" s="24" t="str" cm="1">
        <f t="array" ref="L391">IF(SUM(CA!O392:Z392)=0,"",SUM(CA!O392:Z392))</f>
        <v/>
      </c>
      <c r="M391" s="23" t="str" cm="1">
        <f t="array" ref="M391">IF(SUM(Quantity!C392:N392)=0,"",SUM(Quantity!C392:N392))</f>
        <v/>
      </c>
      <c r="N391" s="25" t="str" cm="1">
        <f t="array" ref="N391">IF(SUM(CA!C392:N392)=0,"",SUM(CA!C392:N392))</f>
        <v/>
      </c>
    </row>
    <row r="392" spans="1:14" x14ac:dyDescent="0.25">
      <c r="A392" s="1"/>
      <c r="B392" s="22" cm="1">
        <f t="array" ref="B392">Quantity!B393</f>
        <v>0</v>
      </c>
      <c r="C392" s="23" cm="1">
        <f t="array" ref="C392">Quantity!O393</f>
        <v>0</v>
      </c>
      <c r="D392" s="24" cm="1">
        <f t="array" ref="D392">CA!O393</f>
        <v>0</v>
      </c>
      <c r="E392" s="23" cm="1">
        <f t="array" ref="E392">Quantity!C393</f>
        <v>0</v>
      </c>
      <c r="F392" s="25" cm="1">
        <f t="array" ref="F392">CA!C393</f>
        <v>0</v>
      </c>
      <c r="G392" s="26" cm="1">
        <f t="array" aca="1" ref="G392" ca="1">SUMIFS(Quantity!$C393:$AH393,Quantity!$C$7:$AH$7,H$6,Quantity!$C$8:$AH$8,TRUE)</f>
        <v>0</v>
      </c>
      <c r="H392" s="24" cm="1">
        <f t="array" aca="1" ref="H392" ca="1">SUMIFS(CA!$C393:$AQ393,CA!$C$7:$AQ$7,H$6,CA!$C$8:$AQ$8,TRUE)</f>
        <v>0</v>
      </c>
      <c r="I392" s="23" cm="1">
        <f t="array" aca="1" ref="I392" ca="1">SUMIFS(Quantity!$C393:$AH393,Quantity!$C$7:$AH$7,J$6,Quantity!$C$8:$AH$8,TRUE)</f>
        <v>0</v>
      </c>
      <c r="J392" s="25" cm="1">
        <f t="array" aca="1" ref="J392" ca="1">SUMIFS(CA!$C393:$AQ393,CA!$C$7:$AQ$7,J$6,CA!$C$8:$AQ$8,TRUE)</f>
        <v>0</v>
      </c>
      <c r="K392" s="26" t="str" cm="1">
        <f t="array" ref="K392">IF(SUM(Quantity!O393:Z393)=0,"",SUM(Quantity!O393:Z393))</f>
        <v/>
      </c>
      <c r="L392" s="24" t="str" cm="1">
        <f t="array" ref="L392">IF(SUM(CA!O393:Z393)=0,"",SUM(CA!O393:Z393))</f>
        <v/>
      </c>
      <c r="M392" s="23" t="str" cm="1">
        <f t="array" ref="M392">IF(SUM(Quantity!C393:N393)=0,"",SUM(Quantity!C393:N393))</f>
        <v/>
      </c>
      <c r="N392" s="25" t="str" cm="1">
        <f t="array" ref="N392">IF(SUM(CA!C393:N393)=0,"",SUM(CA!C393:N393))</f>
        <v/>
      </c>
    </row>
    <row r="393" spans="1:14" x14ac:dyDescent="0.25">
      <c r="A393" s="1"/>
      <c r="B393" s="22" cm="1">
        <f t="array" ref="B393">Quantity!B394</f>
        <v>0</v>
      </c>
      <c r="C393" s="23" cm="1">
        <f t="array" ref="C393">Quantity!O394</f>
        <v>0</v>
      </c>
      <c r="D393" s="24" cm="1">
        <f t="array" ref="D393">CA!O394</f>
        <v>0</v>
      </c>
      <c r="E393" s="23" cm="1">
        <f t="array" ref="E393">Quantity!C394</f>
        <v>0</v>
      </c>
      <c r="F393" s="25" cm="1">
        <f t="array" ref="F393">CA!C394</f>
        <v>0</v>
      </c>
      <c r="G393" s="26" cm="1">
        <f t="array" aca="1" ref="G393" ca="1">SUMIFS(Quantity!$C394:$AH394,Quantity!$C$7:$AH$7,H$6,Quantity!$C$8:$AH$8,TRUE)</f>
        <v>0</v>
      </c>
      <c r="H393" s="24" cm="1">
        <f t="array" aca="1" ref="H393" ca="1">SUMIFS(CA!$C394:$AQ394,CA!$C$7:$AQ$7,H$6,CA!$C$8:$AQ$8,TRUE)</f>
        <v>0</v>
      </c>
      <c r="I393" s="23" cm="1">
        <f t="array" aca="1" ref="I393" ca="1">SUMIFS(Quantity!$C394:$AH394,Quantity!$C$7:$AH$7,J$6,Quantity!$C$8:$AH$8,TRUE)</f>
        <v>0</v>
      </c>
      <c r="J393" s="25" cm="1">
        <f t="array" aca="1" ref="J393" ca="1">SUMIFS(CA!$C394:$AQ394,CA!$C$7:$AQ$7,J$6,CA!$C$8:$AQ$8,TRUE)</f>
        <v>0</v>
      </c>
      <c r="K393" s="26" t="str" cm="1">
        <f t="array" ref="K393">IF(SUM(Quantity!O394:Z394)=0,"",SUM(Quantity!O394:Z394))</f>
        <v/>
      </c>
      <c r="L393" s="24" t="str" cm="1">
        <f t="array" ref="L393">IF(SUM(CA!O394:Z394)=0,"",SUM(CA!O394:Z394))</f>
        <v/>
      </c>
      <c r="M393" s="23" t="str" cm="1">
        <f t="array" ref="M393">IF(SUM(Quantity!C394:N394)=0,"",SUM(Quantity!C394:N394))</f>
        <v/>
      </c>
      <c r="N393" s="25" t="str" cm="1">
        <f t="array" ref="N393">IF(SUM(CA!C394:N394)=0,"",SUM(CA!C394:N394))</f>
        <v/>
      </c>
    </row>
    <row r="394" spans="1:14" x14ac:dyDescent="0.25">
      <c r="A394" s="1"/>
      <c r="B394" s="22" cm="1">
        <f t="array" ref="B394">Quantity!B395</f>
        <v>0</v>
      </c>
      <c r="C394" s="23" cm="1">
        <f t="array" ref="C394">Quantity!O395</f>
        <v>0</v>
      </c>
      <c r="D394" s="24" cm="1">
        <f t="array" ref="D394">CA!O395</f>
        <v>0</v>
      </c>
      <c r="E394" s="23" cm="1">
        <f t="array" ref="E394">Quantity!C395</f>
        <v>0</v>
      </c>
      <c r="F394" s="25" cm="1">
        <f t="array" ref="F394">CA!C395</f>
        <v>0</v>
      </c>
      <c r="G394" s="26" cm="1">
        <f t="array" aca="1" ref="G394" ca="1">SUMIFS(Quantity!$C395:$AH395,Quantity!$C$7:$AH$7,H$6,Quantity!$C$8:$AH$8,TRUE)</f>
        <v>0</v>
      </c>
      <c r="H394" s="24" cm="1">
        <f t="array" aca="1" ref="H394" ca="1">SUMIFS(CA!$C395:$AQ395,CA!$C$7:$AQ$7,H$6,CA!$C$8:$AQ$8,TRUE)</f>
        <v>0</v>
      </c>
      <c r="I394" s="23" cm="1">
        <f t="array" aca="1" ref="I394" ca="1">SUMIFS(Quantity!$C395:$AH395,Quantity!$C$7:$AH$7,J$6,Quantity!$C$8:$AH$8,TRUE)</f>
        <v>0</v>
      </c>
      <c r="J394" s="25" cm="1">
        <f t="array" aca="1" ref="J394" ca="1">SUMIFS(CA!$C395:$AQ395,CA!$C$7:$AQ$7,J$6,CA!$C$8:$AQ$8,TRUE)</f>
        <v>0</v>
      </c>
      <c r="K394" s="26" t="str" cm="1">
        <f t="array" ref="K394">IF(SUM(Quantity!O395:Z395)=0,"",SUM(Quantity!O395:Z395))</f>
        <v/>
      </c>
      <c r="L394" s="24" t="str" cm="1">
        <f t="array" ref="L394">IF(SUM(CA!O395:Z395)=0,"",SUM(CA!O395:Z395))</f>
        <v/>
      </c>
      <c r="M394" s="23" t="str" cm="1">
        <f t="array" ref="M394">IF(SUM(Quantity!C395:N395)=0,"",SUM(Quantity!C395:N395))</f>
        <v/>
      </c>
      <c r="N394" s="25" t="str" cm="1">
        <f t="array" ref="N394">IF(SUM(CA!C395:N395)=0,"",SUM(CA!C395:N395))</f>
        <v/>
      </c>
    </row>
    <row r="395" spans="1:14" x14ac:dyDescent="0.25">
      <c r="A395" s="1"/>
      <c r="B395" s="22" cm="1">
        <f t="array" ref="B395">Quantity!B396</f>
        <v>0</v>
      </c>
      <c r="C395" s="23" cm="1">
        <f t="array" ref="C395">Quantity!O396</f>
        <v>0</v>
      </c>
      <c r="D395" s="24" cm="1">
        <f t="array" ref="D395">CA!O396</f>
        <v>0</v>
      </c>
      <c r="E395" s="23" cm="1">
        <f t="array" ref="E395">Quantity!C396</f>
        <v>0</v>
      </c>
      <c r="F395" s="25" cm="1">
        <f t="array" ref="F395">CA!C396</f>
        <v>0</v>
      </c>
      <c r="G395" s="26" cm="1">
        <f t="array" aca="1" ref="G395" ca="1">SUMIFS(Quantity!$C396:$AH396,Quantity!$C$7:$AH$7,H$6,Quantity!$C$8:$AH$8,TRUE)</f>
        <v>0</v>
      </c>
      <c r="H395" s="24" cm="1">
        <f t="array" aca="1" ref="H395" ca="1">SUMIFS(CA!$C396:$AQ396,CA!$C$7:$AQ$7,H$6,CA!$C$8:$AQ$8,TRUE)</f>
        <v>0</v>
      </c>
      <c r="I395" s="23" cm="1">
        <f t="array" aca="1" ref="I395" ca="1">SUMIFS(Quantity!$C396:$AH396,Quantity!$C$7:$AH$7,J$6,Quantity!$C$8:$AH$8,TRUE)</f>
        <v>0</v>
      </c>
      <c r="J395" s="25" cm="1">
        <f t="array" aca="1" ref="J395" ca="1">SUMIFS(CA!$C396:$AQ396,CA!$C$7:$AQ$7,J$6,CA!$C$8:$AQ$8,TRUE)</f>
        <v>0</v>
      </c>
      <c r="K395" s="26" t="str" cm="1">
        <f t="array" ref="K395">IF(SUM(Quantity!O396:Z396)=0,"",SUM(Quantity!O396:Z396))</f>
        <v/>
      </c>
      <c r="L395" s="24" t="str" cm="1">
        <f t="array" ref="L395">IF(SUM(CA!O396:Z396)=0,"",SUM(CA!O396:Z396))</f>
        <v/>
      </c>
      <c r="M395" s="23" t="str" cm="1">
        <f t="array" ref="M395">IF(SUM(Quantity!C396:N396)=0,"",SUM(Quantity!C396:N396))</f>
        <v/>
      </c>
      <c r="N395" s="25" t="str" cm="1">
        <f t="array" ref="N395">IF(SUM(CA!C396:N396)=0,"",SUM(CA!C396:N396))</f>
        <v/>
      </c>
    </row>
    <row r="396" spans="1:14" x14ac:dyDescent="0.25">
      <c r="A396" s="1"/>
      <c r="B396" s="22" cm="1">
        <f t="array" ref="B396">Quantity!B397</f>
        <v>0</v>
      </c>
      <c r="C396" s="23" cm="1">
        <f t="array" ref="C396">Quantity!O397</f>
        <v>0</v>
      </c>
      <c r="D396" s="24" cm="1">
        <f t="array" ref="D396">CA!O397</f>
        <v>0</v>
      </c>
      <c r="E396" s="23" cm="1">
        <f t="array" ref="E396">Quantity!C397</f>
        <v>0</v>
      </c>
      <c r="F396" s="25" cm="1">
        <f t="array" ref="F396">CA!C397</f>
        <v>0</v>
      </c>
      <c r="G396" s="26" cm="1">
        <f t="array" aca="1" ref="G396" ca="1">SUMIFS(Quantity!$C397:$AH397,Quantity!$C$7:$AH$7,H$6,Quantity!$C$8:$AH$8,TRUE)</f>
        <v>0</v>
      </c>
      <c r="H396" s="24" cm="1">
        <f t="array" aca="1" ref="H396" ca="1">SUMIFS(CA!$C397:$AQ397,CA!$C$7:$AQ$7,H$6,CA!$C$8:$AQ$8,TRUE)</f>
        <v>0</v>
      </c>
      <c r="I396" s="23" cm="1">
        <f t="array" aca="1" ref="I396" ca="1">SUMIFS(Quantity!$C397:$AH397,Quantity!$C$7:$AH$7,J$6,Quantity!$C$8:$AH$8,TRUE)</f>
        <v>0</v>
      </c>
      <c r="J396" s="25" cm="1">
        <f t="array" aca="1" ref="J396" ca="1">SUMIFS(CA!$C397:$AQ397,CA!$C$7:$AQ$7,J$6,CA!$C$8:$AQ$8,TRUE)</f>
        <v>0</v>
      </c>
      <c r="K396" s="26" t="str" cm="1">
        <f t="array" ref="K396">IF(SUM(Quantity!O397:Z397)=0,"",SUM(Quantity!O397:Z397))</f>
        <v/>
      </c>
      <c r="L396" s="24" t="str" cm="1">
        <f t="array" ref="L396">IF(SUM(CA!O397:Z397)=0,"",SUM(CA!O397:Z397))</f>
        <v/>
      </c>
      <c r="M396" s="23" t="str" cm="1">
        <f t="array" ref="M396">IF(SUM(Quantity!C397:N397)=0,"",SUM(Quantity!C397:N397))</f>
        <v/>
      </c>
      <c r="N396" s="25" t="str" cm="1">
        <f t="array" ref="N396">IF(SUM(CA!C397:N397)=0,"",SUM(CA!C397:N397))</f>
        <v/>
      </c>
    </row>
    <row r="397" spans="1:14" x14ac:dyDescent="0.25">
      <c r="A397" s="1"/>
      <c r="B397" s="22" cm="1">
        <f t="array" ref="B397">Quantity!B398</f>
        <v>0</v>
      </c>
      <c r="C397" s="23" cm="1">
        <f t="array" ref="C397">Quantity!O398</f>
        <v>0</v>
      </c>
      <c r="D397" s="24" cm="1">
        <f t="array" ref="D397">CA!O398</f>
        <v>0</v>
      </c>
      <c r="E397" s="23" cm="1">
        <f t="array" ref="E397">Quantity!C398</f>
        <v>0</v>
      </c>
      <c r="F397" s="25" cm="1">
        <f t="array" ref="F397">CA!C398</f>
        <v>0</v>
      </c>
      <c r="G397" s="26" cm="1">
        <f t="array" aca="1" ref="G397" ca="1">SUMIFS(Quantity!$C398:$AH398,Quantity!$C$7:$AH$7,H$6,Quantity!$C$8:$AH$8,TRUE)</f>
        <v>0</v>
      </c>
      <c r="H397" s="24" cm="1">
        <f t="array" aca="1" ref="H397" ca="1">SUMIFS(CA!$C398:$AQ398,CA!$C$7:$AQ$7,H$6,CA!$C$8:$AQ$8,TRUE)</f>
        <v>0</v>
      </c>
      <c r="I397" s="23" cm="1">
        <f t="array" aca="1" ref="I397" ca="1">SUMIFS(Quantity!$C398:$AH398,Quantity!$C$7:$AH$7,J$6,Quantity!$C$8:$AH$8,TRUE)</f>
        <v>0</v>
      </c>
      <c r="J397" s="25" cm="1">
        <f t="array" aca="1" ref="J397" ca="1">SUMIFS(CA!$C398:$AQ398,CA!$C$7:$AQ$7,J$6,CA!$C$8:$AQ$8,TRUE)</f>
        <v>0</v>
      </c>
      <c r="K397" s="26" t="str" cm="1">
        <f t="array" ref="K397">IF(SUM(Quantity!O398:Z398)=0,"",SUM(Quantity!O398:Z398))</f>
        <v/>
      </c>
      <c r="L397" s="24" t="str" cm="1">
        <f t="array" ref="L397">IF(SUM(CA!O398:Z398)=0,"",SUM(CA!O398:Z398))</f>
        <v/>
      </c>
      <c r="M397" s="23" t="str" cm="1">
        <f t="array" ref="M397">IF(SUM(Quantity!C398:N398)=0,"",SUM(Quantity!C398:N398))</f>
        <v/>
      </c>
      <c r="N397" s="25" t="str" cm="1">
        <f t="array" ref="N397">IF(SUM(CA!C398:N398)=0,"",SUM(CA!C398:N398))</f>
        <v/>
      </c>
    </row>
    <row r="398" spans="1:14" x14ac:dyDescent="0.25">
      <c r="A398" s="1"/>
      <c r="B398" s="22" cm="1">
        <f t="array" ref="B398">Quantity!B399</f>
        <v>0</v>
      </c>
      <c r="C398" s="23" cm="1">
        <f t="array" ref="C398">Quantity!O399</f>
        <v>0</v>
      </c>
      <c r="D398" s="24" cm="1">
        <f t="array" ref="D398">CA!O399</f>
        <v>0</v>
      </c>
      <c r="E398" s="23" cm="1">
        <f t="array" ref="E398">Quantity!C399</f>
        <v>0</v>
      </c>
      <c r="F398" s="25" cm="1">
        <f t="array" ref="F398">CA!C399</f>
        <v>0</v>
      </c>
      <c r="G398" s="26" cm="1">
        <f t="array" aca="1" ref="G398" ca="1">SUMIFS(Quantity!$C399:$AH399,Quantity!$C$7:$AH$7,H$6,Quantity!$C$8:$AH$8,TRUE)</f>
        <v>0</v>
      </c>
      <c r="H398" s="24" cm="1">
        <f t="array" aca="1" ref="H398" ca="1">SUMIFS(CA!$C399:$AQ399,CA!$C$7:$AQ$7,H$6,CA!$C$8:$AQ$8,TRUE)</f>
        <v>0</v>
      </c>
      <c r="I398" s="23" cm="1">
        <f t="array" aca="1" ref="I398" ca="1">SUMIFS(Quantity!$C399:$AH399,Quantity!$C$7:$AH$7,J$6,Quantity!$C$8:$AH$8,TRUE)</f>
        <v>0</v>
      </c>
      <c r="J398" s="25" cm="1">
        <f t="array" aca="1" ref="J398" ca="1">SUMIFS(CA!$C399:$AQ399,CA!$C$7:$AQ$7,J$6,CA!$C$8:$AQ$8,TRUE)</f>
        <v>0</v>
      </c>
      <c r="K398" s="26" t="str" cm="1">
        <f t="array" ref="K398">IF(SUM(Quantity!O399:Z399)=0,"",SUM(Quantity!O399:Z399))</f>
        <v/>
      </c>
      <c r="L398" s="24" t="str" cm="1">
        <f t="array" ref="L398">IF(SUM(CA!O399:Z399)=0,"",SUM(CA!O399:Z399))</f>
        <v/>
      </c>
      <c r="M398" s="23" t="str" cm="1">
        <f t="array" ref="M398">IF(SUM(Quantity!C399:N399)=0,"",SUM(Quantity!C399:N399))</f>
        <v/>
      </c>
      <c r="N398" s="25" t="str" cm="1">
        <f t="array" ref="N398">IF(SUM(CA!C399:N399)=0,"",SUM(CA!C399:N399))</f>
        <v/>
      </c>
    </row>
    <row r="399" spans="1:14" x14ac:dyDescent="0.25">
      <c r="A399" s="1"/>
      <c r="B399" s="22" cm="1">
        <f t="array" ref="B399">Quantity!B400</f>
        <v>0</v>
      </c>
      <c r="C399" s="23" cm="1">
        <f t="array" ref="C399">Quantity!O400</f>
        <v>0</v>
      </c>
      <c r="D399" s="24" cm="1">
        <f t="array" ref="D399">CA!O400</f>
        <v>0</v>
      </c>
      <c r="E399" s="23" cm="1">
        <f t="array" ref="E399">Quantity!C400</f>
        <v>0</v>
      </c>
      <c r="F399" s="25" cm="1">
        <f t="array" ref="F399">CA!C400</f>
        <v>0</v>
      </c>
      <c r="G399" s="26" cm="1">
        <f t="array" aca="1" ref="G399" ca="1">SUMIFS(Quantity!$C400:$AH400,Quantity!$C$7:$AH$7,H$6,Quantity!$C$8:$AH$8,TRUE)</f>
        <v>0</v>
      </c>
      <c r="H399" s="24" cm="1">
        <f t="array" aca="1" ref="H399" ca="1">SUMIFS(CA!$C400:$AQ400,CA!$C$7:$AQ$7,H$6,CA!$C$8:$AQ$8,TRUE)</f>
        <v>0</v>
      </c>
      <c r="I399" s="23" cm="1">
        <f t="array" aca="1" ref="I399" ca="1">SUMIFS(Quantity!$C400:$AH400,Quantity!$C$7:$AH$7,J$6,Quantity!$C$8:$AH$8,TRUE)</f>
        <v>0</v>
      </c>
      <c r="J399" s="25" cm="1">
        <f t="array" aca="1" ref="J399" ca="1">SUMIFS(CA!$C400:$AQ400,CA!$C$7:$AQ$7,J$6,CA!$C$8:$AQ$8,TRUE)</f>
        <v>0</v>
      </c>
      <c r="K399" s="26" t="str" cm="1">
        <f t="array" ref="K399">IF(SUM(Quantity!O400:Z400)=0,"",SUM(Quantity!O400:Z400))</f>
        <v/>
      </c>
      <c r="L399" s="24" t="str" cm="1">
        <f t="array" ref="L399">IF(SUM(CA!O400:Z400)=0,"",SUM(CA!O400:Z400))</f>
        <v/>
      </c>
      <c r="M399" s="23" t="str" cm="1">
        <f t="array" ref="M399">IF(SUM(Quantity!C400:N400)=0,"",SUM(Quantity!C400:N400))</f>
        <v/>
      </c>
      <c r="N399" s="25" t="str" cm="1">
        <f t="array" ref="N399">IF(SUM(CA!C400:N400)=0,"",SUM(CA!C400:N400))</f>
        <v/>
      </c>
    </row>
    <row r="400" spans="1:14" x14ac:dyDescent="0.25">
      <c r="A400" s="1"/>
      <c r="B400" s="22" cm="1">
        <f t="array" ref="B400">Quantity!B401</f>
        <v>0</v>
      </c>
      <c r="C400" s="23" cm="1">
        <f t="array" ref="C400">Quantity!O401</f>
        <v>0</v>
      </c>
      <c r="D400" s="24" cm="1">
        <f t="array" ref="D400">CA!O401</f>
        <v>0</v>
      </c>
      <c r="E400" s="23" cm="1">
        <f t="array" ref="E400">Quantity!C401</f>
        <v>0</v>
      </c>
      <c r="F400" s="25" cm="1">
        <f t="array" ref="F400">CA!C401</f>
        <v>0</v>
      </c>
      <c r="G400" s="26" cm="1">
        <f t="array" aca="1" ref="G400" ca="1">SUMIFS(Quantity!$C401:$AH401,Quantity!$C$7:$AH$7,H$6,Quantity!$C$8:$AH$8,TRUE)</f>
        <v>0</v>
      </c>
      <c r="H400" s="24" cm="1">
        <f t="array" aca="1" ref="H400" ca="1">SUMIFS(CA!$C401:$AQ401,CA!$C$7:$AQ$7,H$6,CA!$C$8:$AQ$8,TRUE)</f>
        <v>0</v>
      </c>
      <c r="I400" s="23" cm="1">
        <f t="array" aca="1" ref="I400" ca="1">SUMIFS(Quantity!$C401:$AH401,Quantity!$C$7:$AH$7,J$6,Quantity!$C$8:$AH$8,TRUE)</f>
        <v>0</v>
      </c>
      <c r="J400" s="25" cm="1">
        <f t="array" aca="1" ref="J400" ca="1">SUMIFS(CA!$C401:$AQ401,CA!$C$7:$AQ$7,J$6,CA!$C$8:$AQ$8,TRUE)</f>
        <v>0</v>
      </c>
      <c r="K400" s="26" t="str" cm="1">
        <f t="array" ref="K400">IF(SUM(Quantity!O401:Z401)=0,"",SUM(Quantity!O401:Z401))</f>
        <v/>
      </c>
      <c r="L400" s="24" t="str" cm="1">
        <f t="array" ref="L400">IF(SUM(CA!O401:Z401)=0,"",SUM(CA!O401:Z401))</f>
        <v/>
      </c>
      <c r="M400" s="23" t="str" cm="1">
        <f t="array" ref="M400">IF(SUM(Quantity!C401:N401)=0,"",SUM(Quantity!C401:N401))</f>
        <v/>
      </c>
      <c r="N400" s="25" t="str" cm="1">
        <f t="array" ref="N400">IF(SUM(CA!C401:N401)=0,"",SUM(CA!C401:N401))</f>
        <v/>
      </c>
    </row>
    <row r="401" spans="1:14" x14ac:dyDescent="0.25">
      <c r="A401" s="1"/>
      <c r="B401" s="22" cm="1">
        <f t="array" ref="B401">Quantity!B402</f>
        <v>0</v>
      </c>
      <c r="C401" s="23" cm="1">
        <f t="array" ref="C401">Quantity!O402</f>
        <v>0</v>
      </c>
      <c r="D401" s="24" cm="1">
        <f t="array" ref="D401">CA!O402</f>
        <v>0</v>
      </c>
      <c r="E401" s="23" cm="1">
        <f t="array" ref="E401">Quantity!C402</f>
        <v>0</v>
      </c>
      <c r="F401" s="25" cm="1">
        <f t="array" ref="F401">CA!C402</f>
        <v>0</v>
      </c>
      <c r="G401" s="26" cm="1">
        <f t="array" aca="1" ref="G401" ca="1">SUMIFS(Quantity!$C402:$AH402,Quantity!$C$7:$AH$7,H$6,Quantity!$C$8:$AH$8,TRUE)</f>
        <v>0</v>
      </c>
      <c r="H401" s="24" cm="1">
        <f t="array" aca="1" ref="H401" ca="1">SUMIFS(CA!$C402:$AQ402,CA!$C$7:$AQ$7,H$6,CA!$C$8:$AQ$8,TRUE)</f>
        <v>0</v>
      </c>
      <c r="I401" s="23" cm="1">
        <f t="array" aca="1" ref="I401" ca="1">SUMIFS(Quantity!$C402:$AH402,Quantity!$C$7:$AH$7,J$6,Quantity!$C$8:$AH$8,TRUE)</f>
        <v>0</v>
      </c>
      <c r="J401" s="25" cm="1">
        <f t="array" aca="1" ref="J401" ca="1">SUMIFS(CA!$C402:$AQ402,CA!$C$7:$AQ$7,J$6,CA!$C$8:$AQ$8,TRUE)</f>
        <v>0</v>
      </c>
      <c r="K401" s="26" t="str" cm="1">
        <f t="array" ref="K401">IF(SUM(Quantity!O402:Z402)=0,"",SUM(Quantity!O402:Z402))</f>
        <v/>
      </c>
      <c r="L401" s="24" t="str" cm="1">
        <f t="array" ref="L401">IF(SUM(CA!O402:Z402)=0,"",SUM(CA!O402:Z402))</f>
        <v/>
      </c>
      <c r="M401" s="23" t="str" cm="1">
        <f t="array" ref="M401">IF(SUM(Quantity!C402:N402)=0,"",SUM(Quantity!C402:N402))</f>
        <v/>
      </c>
      <c r="N401" s="25" t="str" cm="1">
        <f t="array" ref="N401">IF(SUM(CA!C402:N402)=0,"",SUM(CA!C402:N402))</f>
        <v/>
      </c>
    </row>
    <row r="402" spans="1:14" x14ac:dyDescent="0.25">
      <c r="A402" s="1"/>
      <c r="B402" s="22" cm="1">
        <f t="array" ref="B402">Quantity!B403</f>
        <v>0</v>
      </c>
      <c r="C402" s="23" cm="1">
        <f t="array" ref="C402">Quantity!O403</f>
        <v>0</v>
      </c>
      <c r="D402" s="24" cm="1">
        <f t="array" ref="D402">CA!O403</f>
        <v>0</v>
      </c>
      <c r="E402" s="23" cm="1">
        <f t="array" ref="E402">Quantity!C403</f>
        <v>0</v>
      </c>
      <c r="F402" s="25" cm="1">
        <f t="array" ref="F402">CA!C403</f>
        <v>0</v>
      </c>
      <c r="G402" s="26" cm="1">
        <f t="array" aca="1" ref="G402" ca="1">SUMIFS(Quantity!$C403:$AH403,Quantity!$C$7:$AH$7,H$6,Quantity!$C$8:$AH$8,TRUE)</f>
        <v>0</v>
      </c>
      <c r="H402" s="24" cm="1">
        <f t="array" aca="1" ref="H402" ca="1">SUMIFS(CA!$C403:$AQ403,CA!$C$7:$AQ$7,H$6,CA!$C$8:$AQ$8,TRUE)</f>
        <v>0</v>
      </c>
      <c r="I402" s="23" cm="1">
        <f t="array" aca="1" ref="I402" ca="1">SUMIFS(Quantity!$C403:$AH403,Quantity!$C$7:$AH$7,J$6,Quantity!$C$8:$AH$8,TRUE)</f>
        <v>0</v>
      </c>
      <c r="J402" s="25" cm="1">
        <f t="array" aca="1" ref="J402" ca="1">SUMIFS(CA!$C403:$AQ403,CA!$C$7:$AQ$7,J$6,CA!$C$8:$AQ$8,TRUE)</f>
        <v>0</v>
      </c>
      <c r="K402" s="26" t="str" cm="1">
        <f t="array" ref="K402">IF(SUM(Quantity!O403:Z403)=0,"",SUM(Quantity!O403:Z403))</f>
        <v/>
      </c>
      <c r="L402" s="24" t="str" cm="1">
        <f t="array" ref="L402">IF(SUM(CA!O403:Z403)=0,"",SUM(CA!O403:Z403))</f>
        <v/>
      </c>
      <c r="M402" s="23" t="str" cm="1">
        <f t="array" ref="M402">IF(SUM(Quantity!C403:N403)=0,"",SUM(Quantity!C403:N403))</f>
        <v/>
      </c>
      <c r="N402" s="25" t="str" cm="1">
        <f t="array" ref="N402">IF(SUM(CA!C403:N403)=0,"",SUM(CA!C403:N403))</f>
        <v/>
      </c>
    </row>
    <row r="403" spans="1:14" x14ac:dyDescent="0.25">
      <c r="A403" s="1"/>
      <c r="B403" s="22" cm="1">
        <f t="array" ref="B403">Quantity!B404</f>
        <v>0</v>
      </c>
      <c r="C403" s="23" cm="1">
        <f t="array" ref="C403">Quantity!O404</f>
        <v>0</v>
      </c>
      <c r="D403" s="24" cm="1">
        <f t="array" ref="D403">CA!O404</f>
        <v>0</v>
      </c>
      <c r="E403" s="23" cm="1">
        <f t="array" ref="E403">Quantity!C404</f>
        <v>0</v>
      </c>
      <c r="F403" s="25" cm="1">
        <f t="array" ref="F403">CA!C404</f>
        <v>0</v>
      </c>
      <c r="G403" s="26" cm="1">
        <f t="array" aca="1" ref="G403" ca="1">SUMIFS(Quantity!$C404:$AH404,Quantity!$C$7:$AH$7,H$6,Quantity!$C$8:$AH$8,TRUE)</f>
        <v>0</v>
      </c>
      <c r="H403" s="24" cm="1">
        <f t="array" aca="1" ref="H403" ca="1">SUMIFS(CA!$C404:$AQ404,CA!$C$7:$AQ$7,H$6,CA!$C$8:$AQ$8,TRUE)</f>
        <v>0</v>
      </c>
      <c r="I403" s="23" cm="1">
        <f t="array" aca="1" ref="I403" ca="1">SUMIFS(Quantity!$C404:$AH404,Quantity!$C$7:$AH$7,J$6,Quantity!$C$8:$AH$8,TRUE)</f>
        <v>0</v>
      </c>
      <c r="J403" s="25" cm="1">
        <f t="array" aca="1" ref="J403" ca="1">SUMIFS(CA!$C404:$AQ404,CA!$C$7:$AQ$7,J$6,CA!$C$8:$AQ$8,TRUE)</f>
        <v>0</v>
      </c>
      <c r="K403" s="26" t="str" cm="1">
        <f t="array" ref="K403">IF(SUM(Quantity!O404:Z404)=0,"",SUM(Quantity!O404:Z404))</f>
        <v/>
      </c>
      <c r="L403" s="24" t="str" cm="1">
        <f t="array" ref="L403">IF(SUM(CA!O404:Z404)=0,"",SUM(CA!O404:Z404))</f>
        <v/>
      </c>
      <c r="M403" s="23" t="str" cm="1">
        <f t="array" ref="M403">IF(SUM(Quantity!C404:N404)=0,"",SUM(Quantity!C404:N404))</f>
        <v/>
      </c>
      <c r="N403" s="25" t="str" cm="1">
        <f t="array" ref="N403">IF(SUM(CA!C404:N404)=0,"",SUM(CA!C404:N404))</f>
        <v/>
      </c>
    </row>
    <row r="404" spans="1:14" x14ac:dyDescent="0.25">
      <c r="A404" s="1"/>
      <c r="B404" s="22" cm="1">
        <f t="array" ref="B404">Quantity!B405</f>
        <v>0</v>
      </c>
      <c r="C404" s="23" cm="1">
        <f t="array" ref="C404">Quantity!O405</f>
        <v>0</v>
      </c>
      <c r="D404" s="24" cm="1">
        <f t="array" ref="D404">CA!O405</f>
        <v>0</v>
      </c>
      <c r="E404" s="23" cm="1">
        <f t="array" ref="E404">Quantity!C405</f>
        <v>0</v>
      </c>
      <c r="F404" s="25" cm="1">
        <f t="array" ref="F404">CA!C405</f>
        <v>0</v>
      </c>
      <c r="G404" s="26" cm="1">
        <f t="array" aca="1" ref="G404" ca="1">SUMIFS(Quantity!$C405:$AH405,Quantity!$C$7:$AH$7,H$6,Quantity!$C$8:$AH$8,TRUE)</f>
        <v>0</v>
      </c>
      <c r="H404" s="24" cm="1">
        <f t="array" aca="1" ref="H404" ca="1">SUMIFS(CA!$C405:$AQ405,CA!$C$7:$AQ$7,H$6,CA!$C$8:$AQ$8,TRUE)</f>
        <v>0</v>
      </c>
      <c r="I404" s="23" cm="1">
        <f t="array" aca="1" ref="I404" ca="1">SUMIFS(Quantity!$C405:$AH405,Quantity!$C$7:$AH$7,J$6,Quantity!$C$8:$AH$8,TRUE)</f>
        <v>0</v>
      </c>
      <c r="J404" s="25" cm="1">
        <f t="array" aca="1" ref="J404" ca="1">SUMIFS(CA!$C405:$AQ405,CA!$C$7:$AQ$7,J$6,CA!$C$8:$AQ$8,TRUE)</f>
        <v>0</v>
      </c>
      <c r="K404" s="26" t="str" cm="1">
        <f t="array" ref="K404">IF(SUM(Quantity!O405:Z405)=0,"",SUM(Quantity!O405:Z405))</f>
        <v/>
      </c>
      <c r="L404" s="24" t="str" cm="1">
        <f t="array" ref="L404">IF(SUM(CA!O405:Z405)=0,"",SUM(CA!O405:Z405))</f>
        <v/>
      </c>
      <c r="M404" s="23" t="str" cm="1">
        <f t="array" ref="M404">IF(SUM(Quantity!C405:N405)=0,"",SUM(Quantity!C405:N405))</f>
        <v/>
      </c>
      <c r="N404" s="25" t="str" cm="1">
        <f t="array" ref="N404">IF(SUM(CA!C405:N405)=0,"",SUM(CA!C405:N405))</f>
        <v/>
      </c>
    </row>
    <row r="405" spans="1:14" x14ac:dyDescent="0.25">
      <c r="A405" s="1"/>
      <c r="B405" s="22" cm="1">
        <f t="array" ref="B405">Quantity!B406</f>
        <v>0</v>
      </c>
      <c r="C405" s="23" cm="1">
        <f t="array" ref="C405">Quantity!O406</f>
        <v>0</v>
      </c>
      <c r="D405" s="24" cm="1">
        <f t="array" ref="D405">CA!O406</f>
        <v>0</v>
      </c>
      <c r="E405" s="23" cm="1">
        <f t="array" ref="E405">Quantity!C406</f>
        <v>0</v>
      </c>
      <c r="F405" s="25" cm="1">
        <f t="array" ref="F405">CA!C406</f>
        <v>0</v>
      </c>
      <c r="G405" s="26" cm="1">
        <f t="array" aca="1" ref="G405" ca="1">SUMIFS(Quantity!$C406:$AH406,Quantity!$C$7:$AH$7,H$6,Quantity!$C$8:$AH$8,TRUE)</f>
        <v>0</v>
      </c>
      <c r="H405" s="24" cm="1">
        <f t="array" aca="1" ref="H405" ca="1">SUMIFS(CA!$C406:$AQ406,CA!$C$7:$AQ$7,H$6,CA!$C$8:$AQ$8,TRUE)</f>
        <v>0</v>
      </c>
      <c r="I405" s="23" cm="1">
        <f t="array" aca="1" ref="I405" ca="1">SUMIFS(Quantity!$C406:$AH406,Quantity!$C$7:$AH$7,J$6,Quantity!$C$8:$AH$8,TRUE)</f>
        <v>0</v>
      </c>
      <c r="J405" s="25" cm="1">
        <f t="array" aca="1" ref="J405" ca="1">SUMIFS(CA!$C406:$AQ406,CA!$C$7:$AQ$7,J$6,CA!$C$8:$AQ$8,TRUE)</f>
        <v>0</v>
      </c>
      <c r="K405" s="26" t="str" cm="1">
        <f t="array" ref="K405">IF(SUM(Quantity!O406:Z406)=0,"",SUM(Quantity!O406:Z406))</f>
        <v/>
      </c>
      <c r="L405" s="24" t="str" cm="1">
        <f t="array" ref="L405">IF(SUM(CA!O406:Z406)=0,"",SUM(CA!O406:Z406))</f>
        <v/>
      </c>
      <c r="M405" s="23" t="str" cm="1">
        <f t="array" ref="M405">IF(SUM(Quantity!C406:N406)=0,"",SUM(Quantity!C406:N406))</f>
        <v/>
      </c>
      <c r="N405" s="25" t="str" cm="1">
        <f t="array" ref="N405">IF(SUM(CA!C406:N406)=0,"",SUM(CA!C406:N406))</f>
        <v/>
      </c>
    </row>
    <row r="406" spans="1:14" x14ac:dyDescent="0.25">
      <c r="A406" s="1"/>
      <c r="B406" s="22" cm="1">
        <f t="array" ref="B406">Quantity!B407</f>
        <v>0</v>
      </c>
      <c r="C406" s="23" cm="1">
        <f t="array" ref="C406">Quantity!O407</f>
        <v>0</v>
      </c>
      <c r="D406" s="24" cm="1">
        <f t="array" ref="D406">CA!O407</f>
        <v>0</v>
      </c>
      <c r="E406" s="23" cm="1">
        <f t="array" ref="E406">Quantity!C407</f>
        <v>0</v>
      </c>
      <c r="F406" s="25" cm="1">
        <f t="array" ref="F406">CA!C407</f>
        <v>0</v>
      </c>
      <c r="G406" s="26" cm="1">
        <f t="array" aca="1" ref="G406" ca="1">SUMIFS(Quantity!$C407:$AH407,Quantity!$C$7:$AH$7,H$6,Quantity!$C$8:$AH$8,TRUE)</f>
        <v>0</v>
      </c>
      <c r="H406" s="24" cm="1">
        <f t="array" aca="1" ref="H406" ca="1">SUMIFS(CA!$C407:$AQ407,CA!$C$7:$AQ$7,H$6,CA!$C$8:$AQ$8,TRUE)</f>
        <v>0</v>
      </c>
      <c r="I406" s="23" cm="1">
        <f t="array" aca="1" ref="I406" ca="1">SUMIFS(Quantity!$C407:$AH407,Quantity!$C$7:$AH$7,J$6,Quantity!$C$8:$AH$8,TRUE)</f>
        <v>0</v>
      </c>
      <c r="J406" s="25" cm="1">
        <f t="array" aca="1" ref="J406" ca="1">SUMIFS(CA!$C407:$AQ407,CA!$C$7:$AQ$7,J$6,CA!$C$8:$AQ$8,TRUE)</f>
        <v>0</v>
      </c>
      <c r="K406" s="26" t="str" cm="1">
        <f t="array" ref="K406">IF(SUM(Quantity!O407:Z407)=0,"",SUM(Quantity!O407:Z407))</f>
        <v/>
      </c>
      <c r="L406" s="24" t="str" cm="1">
        <f t="array" ref="L406">IF(SUM(CA!O407:Z407)=0,"",SUM(CA!O407:Z407))</f>
        <v/>
      </c>
      <c r="M406" s="23" t="str" cm="1">
        <f t="array" ref="M406">IF(SUM(Quantity!C407:N407)=0,"",SUM(Quantity!C407:N407))</f>
        <v/>
      </c>
      <c r="N406" s="25" t="str" cm="1">
        <f t="array" ref="N406">IF(SUM(CA!C407:N407)=0,"",SUM(CA!C407:N407))</f>
        <v/>
      </c>
    </row>
    <row r="407" spans="1:14" x14ac:dyDescent="0.25">
      <c r="A407" s="1"/>
      <c r="B407" s="22" cm="1">
        <f t="array" ref="B407">Quantity!B408</f>
        <v>0</v>
      </c>
      <c r="C407" s="23" cm="1">
        <f t="array" ref="C407">Quantity!O408</f>
        <v>0</v>
      </c>
      <c r="D407" s="24" cm="1">
        <f t="array" ref="D407">CA!O408</f>
        <v>0</v>
      </c>
      <c r="E407" s="23" cm="1">
        <f t="array" ref="E407">Quantity!C408</f>
        <v>0</v>
      </c>
      <c r="F407" s="25" cm="1">
        <f t="array" ref="F407">CA!C408</f>
        <v>0</v>
      </c>
      <c r="G407" s="26" cm="1">
        <f t="array" aca="1" ref="G407" ca="1">SUMIFS(Quantity!$C408:$AH408,Quantity!$C$7:$AH$7,H$6,Quantity!$C$8:$AH$8,TRUE)</f>
        <v>0</v>
      </c>
      <c r="H407" s="24" cm="1">
        <f t="array" aca="1" ref="H407" ca="1">SUMIFS(CA!$C408:$AQ408,CA!$C$7:$AQ$7,H$6,CA!$C$8:$AQ$8,TRUE)</f>
        <v>0</v>
      </c>
      <c r="I407" s="23" cm="1">
        <f t="array" aca="1" ref="I407" ca="1">SUMIFS(Quantity!$C408:$AH408,Quantity!$C$7:$AH$7,J$6,Quantity!$C$8:$AH$8,TRUE)</f>
        <v>0</v>
      </c>
      <c r="J407" s="25" cm="1">
        <f t="array" aca="1" ref="J407" ca="1">SUMIFS(CA!$C408:$AQ408,CA!$C$7:$AQ$7,J$6,CA!$C$8:$AQ$8,TRUE)</f>
        <v>0</v>
      </c>
      <c r="K407" s="26" t="str" cm="1">
        <f t="array" ref="K407">IF(SUM(Quantity!O408:Z408)=0,"",SUM(Quantity!O408:Z408))</f>
        <v/>
      </c>
      <c r="L407" s="24" t="str" cm="1">
        <f t="array" ref="L407">IF(SUM(CA!O408:Z408)=0,"",SUM(CA!O408:Z408))</f>
        <v/>
      </c>
      <c r="M407" s="23" t="str" cm="1">
        <f t="array" ref="M407">IF(SUM(Quantity!C408:N408)=0,"",SUM(Quantity!C408:N408))</f>
        <v/>
      </c>
      <c r="N407" s="25" t="str" cm="1">
        <f t="array" ref="N407">IF(SUM(CA!C408:N408)=0,"",SUM(CA!C408:N408))</f>
        <v/>
      </c>
    </row>
    <row r="408" spans="1:14" x14ac:dyDescent="0.25">
      <c r="A408" s="1"/>
      <c r="B408" s="22" cm="1">
        <f t="array" ref="B408">Quantity!B409</f>
        <v>0</v>
      </c>
      <c r="C408" s="23" cm="1">
        <f t="array" ref="C408">Quantity!O409</f>
        <v>0</v>
      </c>
      <c r="D408" s="24" cm="1">
        <f t="array" ref="D408">CA!O409</f>
        <v>0</v>
      </c>
      <c r="E408" s="23" cm="1">
        <f t="array" ref="E408">Quantity!C409</f>
        <v>0</v>
      </c>
      <c r="F408" s="25" cm="1">
        <f t="array" ref="F408">CA!C409</f>
        <v>0</v>
      </c>
      <c r="G408" s="26" cm="1">
        <f t="array" aca="1" ref="G408" ca="1">SUMIFS(Quantity!$C409:$AH409,Quantity!$C$7:$AH$7,H$6,Quantity!$C$8:$AH$8,TRUE)</f>
        <v>0</v>
      </c>
      <c r="H408" s="24" cm="1">
        <f t="array" aca="1" ref="H408" ca="1">SUMIFS(CA!$C409:$AQ409,CA!$C$7:$AQ$7,H$6,CA!$C$8:$AQ$8,TRUE)</f>
        <v>0</v>
      </c>
      <c r="I408" s="23" cm="1">
        <f t="array" aca="1" ref="I408" ca="1">SUMIFS(Quantity!$C409:$AH409,Quantity!$C$7:$AH$7,J$6,Quantity!$C$8:$AH$8,TRUE)</f>
        <v>0</v>
      </c>
      <c r="J408" s="25" cm="1">
        <f t="array" aca="1" ref="J408" ca="1">SUMIFS(CA!$C409:$AQ409,CA!$C$7:$AQ$7,J$6,CA!$C$8:$AQ$8,TRUE)</f>
        <v>0</v>
      </c>
      <c r="K408" s="26" t="str" cm="1">
        <f t="array" ref="K408">IF(SUM(Quantity!O409:Z409)=0,"",SUM(Quantity!O409:Z409))</f>
        <v/>
      </c>
      <c r="L408" s="24" t="str" cm="1">
        <f t="array" ref="L408">IF(SUM(CA!O409:Z409)=0,"",SUM(CA!O409:Z409))</f>
        <v/>
      </c>
      <c r="M408" s="23" t="str" cm="1">
        <f t="array" ref="M408">IF(SUM(Quantity!C409:N409)=0,"",SUM(Quantity!C409:N409))</f>
        <v/>
      </c>
      <c r="N408" s="25" t="str" cm="1">
        <f t="array" ref="N408">IF(SUM(CA!C409:N409)=0,"",SUM(CA!C409:N409))</f>
        <v/>
      </c>
    </row>
    <row r="409" spans="1:14" x14ac:dyDescent="0.25">
      <c r="A409" s="1"/>
      <c r="B409" s="22" cm="1">
        <f t="array" ref="B409">Quantity!B410</f>
        <v>0</v>
      </c>
      <c r="C409" s="23" cm="1">
        <f t="array" ref="C409">Quantity!O410</f>
        <v>0</v>
      </c>
      <c r="D409" s="24" cm="1">
        <f t="array" ref="D409">CA!O410</f>
        <v>0</v>
      </c>
      <c r="E409" s="23" cm="1">
        <f t="array" ref="E409">Quantity!C410</f>
        <v>0</v>
      </c>
      <c r="F409" s="25" cm="1">
        <f t="array" ref="F409">CA!C410</f>
        <v>0</v>
      </c>
      <c r="G409" s="26" cm="1">
        <f t="array" aca="1" ref="G409" ca="1">SUMIFS(Quantity!$C410:$AH410,Quantity!$C$7:$AH$7,H$6,Quantity!$C$8:$AH$8,TRUE)</f>
        <v>0</v>
      </c>
      <c r="H409" s="24" cm="1">
        <f t="array" aca="1" ref="H409" ca="1">SUMIFS(CA!$C410:$AQ410,CA!$C$7:$AQ$7,H$6,CA!$C$8:$AQ$8,TRUE)</f>
        <v>0</v>
      </c>
      <c r="I409" s="23" cm="1">
        <f t="array" aca="1" ref="I409" ca="1">SUMIFS(Quantity!$C410:$AH410,Quantity!$C$7:$AH$7,J$6,Quantity!$C$8:$AH$8,TRUE)</f>
        <v>0</v>
      </c>
      <c r="J409" s="25" cm="1">
        <f t="array" aca="1" ref="J409" ca="1">SUMIFS(CA!$C410:$AQ410,CA!$C$7:$AQ$7,J$6,CA!$C$8:$AQ$8,TRUE)</f>
        <v>0</v>
      </c>
      <c r="K409" s="26" t="str" cm="1">
        <f t="array" ref="K409">IF(SUM(Quantity!O410:Z410)=0,"",SUM(Quantity!O410:Z410))</f>
        <v/>
      </c>
      <c r="L409" s="24" t="str" cm="1">
        <f t="array" ref="L409">IF(SUM(CA!O410:Z410)=0,"",SUM(CA!O410:Z410))</f>
        <v/>
      </c>
      <c r="M409" s="23" t="str" cm="1">
        <f t="array" ref="M409">IF(SUM(Quantity!C410:N410)=0,"",SUM(Quantity!C410:N410))</f>
        <v/>
      </c>
      <c r="N409" s="25" t="str" cm="1">
        <f t="array" ref="N409">IF(SUM(CA!C410:N410)=0,"",SUM(CA!C410:N410))</f>
        <v/>
      </c>
    </row>
    <row r="410" spans="1:14" x14ac:dyDescent="0.25">
      <c r="A410" s="1"/>
      <c r="B410" s="22" cm="1">
        <f t="array" ref="B410">Quantity!B411</f>
        <v>0</v>
      </c>
      <c r="C410" s="23" cm="1">
        <f t="array" ref="C410">Quantity!O411</f>
        <v>0</v>
      </c>
      <c r="D410" s="24" cm="1">
        <f t="array" ref="D410">CA!O411</f>
        <v>0</v>
      </c>
      <c r="E410" s="23" cm="1">
        <f t="array" ref="E410">Quantity!C411</f>
        <v>0</v>
      </c>
      <c r="F410" s="25" cm="1">
        <f t="array" ref="F410">CA!C411</f>
        <v>0</v>
      </c>
      <c r="G410" s="26" cm="1">
        <f t="array" aca="1" ref="G410" ca="1">SUMIFS(Quantity!$C411:$AH411,Quantity!$C$7:$AH$7,H$6,Quantity!$C$8:$AH$8,TRUE)</f>
        <v>0</v>
      </c>
      <c r="H410" s="24" cm="1">
        <f t="array" aca="1" ref="H410" ca="1">SUMIFS(CA!$C411:$AQ411,CA!$C$7:$AQ$7,H$6,CA!$C$8:$AQ$8,TRUE)</f>
        <v>0</v>
      </c>
      <c r="I410" s="23" cm="1">
        <f t="array" aca="1" ref="I410" ca="1">SUMIFS(Quantity!$C411:$AH411,Quantity!$C$7:$AH$7,J$6,Quantity!$C$8:$AH$8,TRUE)</f>
        <v>0</v>
      </c>
      <c r="J410" s="25" cm="1">
        <f t="array" aca="1" ref="J410" ca="1">SUMIFS(CA!$C411:$AQ411,CA!$C$7:$AQ$7,J$6,CA!$C$8:$AQ$8,TRUE)</f>
        <v>0</v>
      </c>
      <c r="K410" s="26" t="str" cm="1">
        <f t="array" ref="K410">IF(SUM(Quantity!O411:Z411)=0,"",SUM(Quantity!O411:Z411))</f>
        <v/>
      </c>
      <c r="L410" s="24" t="str" cm="1">
        <f t="array" ref="L410">IF(SUM(CA!O411:Z411)=0,"",SUM(CA!O411:Z411))</f>
        <v/>
      </c>
      <c r="M410" s="23" t="str" cm="1">
        <f t="array" ref="M410">IF(SUM(Quantity!C411:N411)=0,"",SUM(Quantity!C411:N411))</f>
        <v/>
      </c>
      <c r="N410" s="25" t="str" cm="1">
        <f t="array" ref="N410">IF(SUM(CA!C411:N411)=0,"",SUM(CA!C411:N411))</f>
        <v/>
      </c>
    </row>
    <row r="411" spans="1:14" x14ac:dyDescent="0.25">
      <c r="A411" s="1"/>
      <c r="B411" s="22" cm="1">
        <f t="array" ref="B411">Quantity!B412</f>
        <v>0</v>
      </c>
      <c r="C411" s="23" cm="1">
        <f t="array" ref="C411">Quantity!O412</f>
        <v>0</v>
      </c>
      <c r="D411" s="24" cm="1">
        <f t="array" ref="D411">CA!O412</f>
        <v>0</v>
      </c>
      <c r="E411" s="23" cm="1">
        <f t="array" ref="E411">Quantity!C412</f>
        <v>0</v>
      </c>
      <c r="F411" s="25" cm="1">
        <f t="array" ref="F411">CA!C412</f>
        <v>0</v>
      </c>
      <c r="G411" s="26" cm="1">
        <f t="array" aca="1" ref="G411" ca="1">SUMIFS(Quantity!$C412:$AH412,Quantity!$C$7:$AH$7,H$6,Quantity!$C$8:$AH$8,TRUE)</f>
        <v>0</v>
      </c>
      <c r="H411" s="24" cm="1">
        <f t="array" aca="1" ref="H411" ca="1">SUMIFS(CA!$C412:$AQ412,CA!$C$7:$AQ$7,H$6,CA!$C$8:$AQ$8,TRUE)</f>
        <v>0</v>
      </c>
      <c r="I411" s="23" cm="1">
        <f t="array" aca="1" ref="I411" ca="1">SUMIFS(Quantity!$C412:$AH412,Quantity!$C$7:$AH$7,J$6,Quantity!$C$8:$AH$8,TRUE)</f>
        <v>0</v>
      </c>
      <c r="J411" s="25" cm="1">
        <f t="array" aca="1" ref="J411" ca="1">SUMIFS(CA!$C412:$AQ412,CA!$C$7:$AQ$7,J$6,CA!$C$8:$AQ$8,TRUE)</f>
        <v>0</v>
      </c>
      <c r="K411" s="26" t="str" cm="1">
        <f t="array" ref="K411">IF(SUM(Quantity!O412:Z412)=0,"",SUM(Quantity!O412:Z412))</f>
        <v/>
      </c>
      <c r="L411" s="24" t="str" cm="1">
        <f t="array" ref="L411">IF(SUM(CA!O412:Z412)=0,"",SUM(CA!O412:Z412))</f>
        <v/>
      </c>
      <c r="M411" s="23" t="str" cm="1">
        <f t="array" ref="M411">IF(SUM(Quantity!C412:N412)=0,"",SUM(Quantity!C412:N412))</f>
        <v/>
      </c>
      <c r="N411" s="25" t="str" cm="1">
        <f t="array" ref="N411">IF(SUM(CA!C412:N412)=0,"",SUM(CA!C412:N412))</f>
        <v/>
      </c>
    </row>
    <row r="412" spans="1:14" x14ac:dyDescent="0.25">
      <c r="A412" s="1"/>
      <c r="B412" s="22" cm="1">
        <f t="array" ref="B412">Quantity!B413</f>
        <v>0</v>
      </c>
      <c r="C412" s="23" cm="1">
        <f t="array" ref="C412">Quantity!O413</f>
        <v>0</v>
      </c>
      <c r="D412" s="24" cm="1">
        <f t="array" ref="D412">CA!O413</f>
        <v>0</v>
      </c>
      <c r="E412" s="23" cm="1">
        <f t="array" ref="E412">Quantity!C413</f>
        <v>0</v>
      </c>
      <c r="F412" s="25" cm="1">
        <f t="array" ref="F412">CA!C413</f>
        <v>0</v>
      </c>
      <c r="G412" s="26" cm="1">
        <f t="array" aca="1" ref="G412" ca="1">SUMIFS(Quantity!$C413:$AH413,Quantity!$C$7:$AH$7,H$6,Quantity!$C$8:$AH$8,TRUE)</f>
        <v>0</v>
      </c>
      <c r="H412" s="24" cm="1">
        <f t="array" aca="1" ref="H412" ca="1">SUMIFS(CA!$C413:$AQ413,CA!$C$7:$AQ$7,H$6,CA!$C$8:$AQ$8,TRUE)</f>
        <v>0</v>
      </c>
      <c r="I412" s="23" cm="1">
        <f t="array" aca="1" ref="I412" ca="1">SUMIFS(Quantity!$C413:$AH413,Quantity!$C$7:$AH$7,J$6,Quantity!$C$8:$AH$8,TRUE)</f>
        <v>0</v>
      </c>
      <c r="J412" s="25" cm="1">
        <f t="array" aca="1" ref="J412" ca="1">SUMIFS(CA!$C413:$AQ413,CA!$C$7:$AQ$7,J$6,CA!$C$8:$AQ$8,TRUE)</f>
        <v>0</v>
      </c>
      <c r="K412" s="26" t="str" cm="1">
        <f t="array" ref="K412">IF(SUM(Quantity!O413:Z413)=0,"",SUM(Quantity!O413:Z413))</f>
        <v/>
      </c>
      <c r="L412" s="24" t="str" cm="1">
        <f t="array" ref="L412">IF(SUM(CA!O413:Z413)=0,"",SUM(CA!O413:Z413))</f>
        <v/>
      </c>
      <c r="M412" s="23" t="str" cm="1">
        <f t="array" ref="M412">IF(SUM(Quantity!C413:N413)=0,"",SUM(Quantity!C413:N413))</f>
        <v/>
      </c>
      <c r="N412" s="25" t="str" cm="1">
        <f t="array" ref="N412">IF(SUM(CA!C413:N413)=0,"",SUM(CA!C413:N413))</f>
        <v/>
      </c>
    </row>
    <row r="413" spans="1:14" x14ac:dyDescent="0.25">
      <c r="A413" s="1"/>
      <c r="B413" s="22" cm="1">
        <f t="array" ref="B413">Quantity!B414</f>
        <v>0</v>
      </c>
      <c r="C413" s="23" cm="1">
        <f t="array" ref="C413">Quantity!O414</f>
        <v>0</v>
      </c>
      <c r="D413" s="24" cm="1">
        <f t="array" ref="D413">CA!O414</f>
        <v>0</v>
      </c>
      <c r="E413" s="23" cm="1">
        <f t="array" ref="E413">Quantity!C414</f>
        <v>0</v>
      </c>
      <c r="F413" s="25" cm="1">
        <f t="array" ref="F413">CA!C414</f>
        <v>0</v>
      </c>
      <c r="G413" s="26" cm="1">
        <f t="array" aca="1" ref="G413" ca="1">SUMIFS(Quantity!$C414:$AH414,Quantity!$C$7:$AH$7,H$6,Quantity!$C$8:$AH$8,TRUE)</f>
        <v>0</v>
      </c>
      <c r="H413" s="24" cm="1">
        <f t="array" aca="1" ref="H413" ca="1">SUMIFS(CA!$C414:$AQ414,CA!$C$7:$AQ$7,H$6,CA!$C$8:$AQ$8,TRUE)</f>
        <v>0</v>
      </c>
      <c r="I413" s="23" cm="1">
        <f t="array" aca="1" ref="I413" ca="1">SUMIFS(Quantity!$C414:$AH414,Quantity!$C$7:$AH$7,J$6,Quantity!$C$8:$AH$8,TRUE)</f>
        <v>0</v>
      </c>
      <c r="J413" s="25" cm="1">
        <f t="array" aca="1" ref="J413" ca="1">SUMIFS(CA!$C414:$AQ414,CA!$C$7:$AQ$7,J$6,CA!$C$8:$AQ$8,TRUE)</f>
        <v>0</v>
      </c>
      <c r="K413" s="26" t="str" cm="1">
        <f t="array" ref="K413">IF(SUM(Quantity!O414:Z414)=0,"",SUM(Quantity!O414:Z414))</f>
        <v/>
      </c>
      <c r="L413" s="24" t="str" cm="1">
        <f t="array" ref="L413">IF(SUM(CA!O414:Z414)=0,"",SUM(CA!O414:Z414))</f>
        <v/>
      </c>
      <c r="M413" s="23" t="str" cm="1">
        <f t="array" ref="M413">IF(SUM(Quantity!C414:N414)=0,"",SUM(Quantity!C414:N414))</f>
        <v/>
      </c>
      <c r="N413" s="25" t="str" cm="1">
        <f t="array" ref="N413">IF(SUM(CA!C414:N414)=0,"",SUM(CA!C414:N414))</f>
        <v/>
      </c>
    </row>
    <row r="414" spans="1:14" x14ac:dyDescent="0.25">
      <c r="A414" s="1"/>
      <c r="B414" s="22" cm="1">
        <f t="array" ref="B414">Quantity!B415</f>
        <v>0</v>
      </c>
      <c r="C414" s="23" cm="1">
        <f t="array" ref="C414">Quantity!O415</f>
        <v>0</v>
      </c>
      <c r="D414" s="24" cm="1">
        <f t="array" ref="D414">CA!O415</f>
        <v>0</v>
      </c>
      <c r="E414" s="23" cm="1">
        <f t="array" ref="E414">Quantity!C415</f>
        <v>0</v>
      </c>
      <c r="F414" s="25" cm="1">
        <f t="array" ref="F414">CA!C415</f>
        <v>0</v>
      </c>
      <c r="G414" s="26" cm="1">
        <f t="array" aca="1" ref="G414" ca="1">SUMIFS(Quantity!$C415:$AH415,Quantity!$C$7:$AH$7,H$6,Quantity!$C$8:$AH$8,TRUE)</f>
        <v>0</v>
      </c>
      <c r="H414" s="24" cm="1">
        <f t="array" aca="1" ref="H414" ca="1">SUMIFS(CA!$C415:$AQ415,CA!$C$7:$AQ$7,H$6,CA!$C$8:$AQ$8,TRUE)</f>
        <v>0</v>
      </c>
      <c r="I414" s="23" cm="1">
        <f t="array" aca="1" ref="I414" ca="1">SUMIFS(Quantity!$C415:$AH415,Quantity!$C$7:$AH$7,J$6,Quantity!$C$8:$AH$8,TRUE)</f>
        <v>0</v>
      </c>
      <c r="J414" s="25" cm="1">
        <f t="array" aca="1" ref="J414" ca="1">SUMIFS(CA!$C415:$AQ415,CA!$C$7:$AQ$7,J$6,CA!$C$8:$AQ$8,TRUE)</f>
        <v>0</v>
      </c>
      <c r="K414" s="26" t="str" cm="1">
        <f t="array" ref="K414">IF(SUM(Quantity!O415:Z415)=0,"",SUM(Quantity!O415:Z415))</f>
        <v/>
      </c>
      <c r="L414" s="24" t="str" cm="1">
        <f t="array" ref="L414">IF(SUM(CA!O415:Z415)=0,"",SUM(CA!O415:Z415))</f>
        <v/>
      </c>
      <c r="M414" s="23" t="str" cm="1">
        <f t="array" ref="M414">IF(SUM(Quantity!C415:N415)=0,"",SUM(Quantity!C415:N415))</f>
        <v/>
      </c>
      <c r="N414" s="25" t="str" cm="1">
        <f t="array" ref="N414">IF(SUM(CA!C415:N415)=0,"",SUM(CA!C415:N415))</f>
        <v/>
      </c>
    </row>
    <row r="415" spans="1:14" x14ac:dyDescent="0.25">
      <c r="A415" s="1"/>
      <c r="B415" s="22" cm="1">
        <f t="array" ref="B415">Quantity!B416</f>
        <v>0</v>
      </c>
      <c r="C415" s="23" cm="1">
        <f t="array" ref="C415">Quantity!O416</f>
        <v>0</v>
      </c>
      <c r="D415" s="24" cm="1">
        <f t="array" ref="D415">CA!O416</f>
        <v>0</v>
      </c>
      <c r="E415" s="23" cm="1">
        <f t="array" ref="E415">Quantity!C416</f>
        <v>0</v>
      </c>
      <c r="F415" s="25" cm="1">
        <f t="array" ref="F415">CA!C416</f>
        <v>0</v>
      </c>
      <c r="G415" s="26" cm="1">
        <f t="array" aca="1" ref="G415" ca="1">SUMIFS(Quantity!$C416:$AH416,Quantity!$C$7:$AH$7,H$6,Quantity!$C$8:$AH$8,TRUE)</f>
        <v>0</v>
      </c>
      <c r="H415" s="24" cm="1">
        <f t="array" aca="1" ref="H415" ca="1">SUMIFS(CA!$C416:$AQ416,CA!$C$7:$AQ$7,H$6,CA!$C$8:$AQ$8,TRUE)</f>
        <v>0</v>
      </c>
      <c r="I415" s="23" cm="1">
        <f t="array" aca="1" ref="I415" ca="1">SUMIFS(Quantity!$C416:$AH416,Quantity!$C$7:$AH$7,J$6,Quantity!$C$8:$AH$8,TRUE)</f>
        <v>0</v>
      </c>
      <c r="J415" s="25" cm="1">
        <f t="array" aca="1" ref="J415" ca="1">SUMIFS(CA!$C416:$AQ416,CA!$C$7:$AQ$7,J$6,CA!$C$8:$AQ$8,TRUE)</f>
        <v>0</v>
      </c>
      <c r="K415" s="26" t="str" cm="1">
        <f t="array" ref="K415">IF(SUM(Quantity!O416:Z416)=0,"",SUM(Quantity!O416:Z416))</f>
        <v/>
      </c>
      <c r="L415" s="24" t="str" cm="1">
        <f t="array" ref="L415">IF(SUM(CA!O416:Z416)=0,"",SUM(CA!O416:Z416))</f>
        <v/>
      </c>
      <c r="M415" s="23" t="str" cm="1">
        <f t="array" ref="M415">IF(SUM(Quantity!C416:N416)=0,"",SUM(Quantity!C416:N416))</f>
        <v/>
      </c>
      <c r="N415" s="25" t="str" cm="1">
        <f t="array" ref="N415">IF(SUM(CA!C416:N416)=0,"",SUM(CA!C416:N416))</f>
        <v/>
      </c>
    </row>
    <row r="416" spans="1:14" x14ac:dyDescent="0.25">
      <c r="A416" s="1"/>
      <c r="B416" s="22" cm="1">
        <f t="array" ref="B416">Quantity!B417</f>
        <v>0</v>
      </c>
      <c r="C416" s="23" cm="1">
        <f t="array" ref="C416">Quantity!O417</f>
        <v>0</v>
      </c>
      <c r="D416" s="24" cm="1">
        <f t="array" ref="D416">CA!O417</f>
        <v>0</v>
      </c>
      <c r="E416" s="23" cm="1">
        <f t="array" ref="E416">Quantity!C417</f>
        <v>0</v>
      </c>
      <c r="F416" s="25" cm="1">
        <f t="array" ref="F416">CA!C417</f>
        <v>0</v>
      </c>
      <c r="G416" s="26" cm="1">
        <f t="array" aca="1" ref="G416" ca="1">SUMIFS(Quantity!$C417:$AH417,Quantity!$C$7:$AH$7,H$6,Quantity!$C$8:$AH$8,TRUE)</f>
        <v>0</v>
      </c>
      <c r="H416" s="24" cm="1">
        <f t="array" aca="1" ref="H416" ca="1">SUMIFS(CA!$C417:$AQ417,CA!$C$7:$AQ$7,H$6,CA!$C$8:$AQ$8,TRUE)</f>
        <v>0</v>
      </c>
      <c r="I416" s="23" cm="1">
        <f t="array" aca="1" ref="I416" ca="1">SUMIFS(Quantity!$C417:$AH417,Quantity!$C$7:$AH$7,J$6,Quantity!$C$8:$AH$8,TRUE)</f>
        <v>0</v>
      </c>
      <c r="J416" s="25" cm="1">
        <f t="array" aca="1" ref="J416" ca="1">SUMIFS(CA!$C417:$AQ417,CA!$C$7:$AQ$7,J$6,CA!$C$8:$AQ$8,TRUE)</f>
        <v>0</v>
      </c>
      <c r="K416" s="26" t="str" cm="1">
        <f t="array" ref="K416">IF(SUM(Quantity!O417:Z417)=0,"",SUM(Quantity!O417:Z417))</f>
        <v/>
      </c>
      <c r="L416" s="24" t="str" cm="1">
        <f t="array" ref="L416">IF(SUM(CA!O417:Z417)=0,"",SUM(CA!O417:Z417))</f>
        <v/>
      </c>
      <c r="M416" s="23" t="str" cm="1">
        <f t="array" ref="M416">IF(SUM(Quantity!C417:N417)=0,"",SUM(Quantity!C417:N417))</f>
        <v/>
      </c>
      <c r="N416" s="25" t="str" cm="1">
        <f t="array" ref="N416">IF(SUM(CA!C417:N417)=0,"",SUM(CA!C417:N417))</f>
        <v/>
      </c>
    </row>
    <row r="417" spans="1:14" x14ac:dyDescent="0.25">
      <c r="A417" s="1"/>
      <c r="B417" s="22" cm="1">
        <f t="array" ref="B417">Quantity!B418</f>
        <v>0</v>
      </c>
      <c r="C417" s="23" cm="1">
        <f t="array" ref="C417">Quantity!O418</f>
        <v>0</v>
      </c>
      <c r="D417" s="24" cm="1">
        <f t="array" ref="D417">CA!O418</f>
        <v>0</v>
      </c>
      <c r="E417" s="23" cm="1">
        <f t="array" ref="E417">Quantity!C418</f>
        <v>0</v>
      </c>
      <c r="F417" s="25" cm="1">
        <f t="array" ref="F417">CA!C418</f>
        <v>0</v>
      </c>
      <c r="G417" s="26" cm="1">
        <f t="array" aca="1" ref="G417" ca="1">SUMIFS(Quantity!$C418:$AH418,Quantity!$C$7:$AH$7,H$6,Quantity!$C$8:$AH$8,TRUE)</f>
        <v>0</v>
      </c>
      <c r="H417" s="24" cm="1">
        <f t="array" aca="1" ref="H417" ca="1">SUMIFS(CA!$C418:$AQ418,CA!$C$7:$AQ$7,H$6,CA!$C$8:$AQ$8,TRUE)</f>
        <v>0</v>
      </c>
      <c r="I417" s="23" cm="1">
        <f t="array" aca="1" ref="I417" ca="1">SUMIFS(Quantity!$C418:$AH418,Quantity!$C$7:$AH$7,J$6,Quantity!$C$8:$AH$8,TRUE)</f>
        <v>0</v>
      </c>
      <c r="J417" s="25" cm="1">
        <f t="array" aca="1" ref="J417" ca="1">SUMIFS(CA!$C418:$AQ418,CA!$C$7:$AQ$7,J$6,CA!$C$8:$AQ$8,TRUE)</f>
        <v>0</v>
      </c>
      <c r="K417" s="26" t="str" cm="1">
        <f t="array" ref="K417">IF(SUM(Quantity!O418:Z418)=0,"",SUM(Quantity!O418:Z418))</f>
        <v/>
      </c>
      <c r="L417" s="24" t="str" cm="1">
        <f t="array" ref="L417">IF(SUM(CA!O418:Z418)=0,"",SUM(CA!O418:Z418))</f>
        <v/>
      </c>
      <c r="M417" s="23" t="str" cm="1">
        <f t="array" ref="M417">IF(SUM(Quantity!C418:N418)=0,"",SUM(Quantity!C418:N418))</f>
        <v/>
      </c>
      <c r="N417" s="25" t="str" cm="1">
        <f t="array" ref="N417">IF(SUM(CA!C418:N418)=0,"",SUM(CA!C418:N418))</f>
        <v/>
      </c>
    </row>
    <row r="418" spans="1:14" x14ac:dyDescent="0.25">
      <c r="A418" s="1"/>
      <c r="B418" s="22" cm="1">
        <f t="array" ref="B418">Quantity!B419</f>
        <v>0</v>
      </c>
      <c r="C418" s="23" cm="1">
        <f t="array" ref="C418">Quantity!O419</f>
        <v>0</v>
      </c>
      <c r="D418" s="24" cm="1">
        <f t="array" ref="D418">CA!O419</f>
        <v>0</v>
      </c>
      <c r="E418" s="23" cm="1">
        <f t="array" ref="E418">Quantity!C419</f>
        <v>0</v>
      </c>
      <c r="F418" s="25" cm="1">
        <f t="array" ref="F418">CA!C419</f>
        <v>0</v>
      </c>
      <c r="G418" s="26" cm="1">
        <f t="array" aca="1" ref="G418" ca="1">SUMIFS(Quantity!$C419:$AH419,Quantity!$C$7:$AH$7,H$6,Quantity!$C$8:$AH$8,TRUE)</f>
        <v>0</v>
      </c>
      <c r="H418" s="24" cm="1">
        <f t="array" aca="1" ref="H418" ca="1">SUMIFS(CA!$C419:$AQ419,CA!$C$7:$AQ$7,H$6,CA!$C$8:$AQ$8,TRUE)</f>
        <v>0</v>
      </c>
      <c r="I418" s="23" cm="1">
        <f t="array" aca="1" ref="I418" ca="1">SUMIFS(Quantity!$C419:$AH419,Quantity!$C$7:$AH$7,J$6,Quantity!$C$8:$AH$8,TRUE)</f>
        <v>0</v>
      </c>
      <c r="J418" s="25" cm="1">
        <f t="array" aca="1" ref="J418" ca="1">SUMIFS(CA!$C419:$AQ419,CA!$C$7:$AQ$7,J$6,CA!$C$8:$AQ$8,TRUE)</f>
        <v>0</v>
      </c>
      <c r="K418" s="26" t="str" cm="1">
        <f t="array" ref="K418">IF(SUM(Quantity!O419:Z419)=0,"",SUM(Quantity!O419:Z419))</f>
        <v/>
      </c>
      <c r="L418" s="24" t="str" cm="1">
        <f t="array" ref="L418">IF(SUM(CA!O419:Z419)=0,"",SUM(CA!O419:Z419))</f>
        <v/>
      </c>
      <c r="M418" s="23" t="str" cm="1">
        <f t="array" ref="M418">IF(SUM(Quantity!C419:N419)=0,"",SUM(Quantity!C419:N419))</f>
        <v/>
      </c>
      <c r="N418" s="25" t="str" cm="1">
        <f t="array" ref="N418">IF(SUM(CA!C419:N419)=0,"",SUM(CA!C419:N419))</f>
        <v/>
      </c>
    </row>
    <row r="419" spans="1:14" x14ac:dyDescent="0.25">
      <c r="A419" s="1"/>
      <c r="B419" s="22" cm="1">
        <f t="array" ref="B419">Quantity!B420</f>
        <v>0</v>
      </c>
      <c r="C419" s="23" cm="1">
        <f t="array" ref="C419">Quantity!O420</f>
        <v>0</v>
      </c>
      <c r="D419" s="24" cm="1">
        <f t="array" ref="D419">CA!O420</f>
        <v>0</v>
      </c>
      <c r="E419" s="23" cm="1">
        <f t="array" ref="E419">Quantity!C420</f>
        <v>0</v>
      </c>
      <c r="F419" s="25" cm="1">
        <f t="array" ref="F419">CA!C420</f>
        <v>0</v>
      </c>
      <c r="G419" s="26" cm="1">
        <f t="array" aca="1" ref="G419" ca="1">SUMIFS(Quantity!$C420:$AH420,Quantity!$C$7:$AH$7,H$6,Quantity!$C$8:$AH$8,TRUE)</f>
        <v>0</v>
      </c>
      <c r="H419" s="24" cm="1">
        <f t="array" aca="1" ref="H419" ca="1">SUMIFS(CA!$C420:$AQ420,CA!$C$7:$AQ$7,H$6,CA!$C$8:$AQ$8,TRUE)</f>
        <v>0</v>
      </c>
      <c r="I419" s="23" cm="1">
        <f t="array" aca="1" ref="I419" ca="1">SUMIFS(Quantity!$C420:$AH420,Quantity!$C$7:$AH$7,J$6,Quantity!$C$8:$AH$8,TRUE)</f>
        <v>0</v>
      </c>
      <c r="J419" s="25" cm="1">
        <f t="array" aca="1" ref="J419" ca="1">SUMIFS(CA!$C420:$AQ420,CA!$C$7:$AQ$7,J$6,CA!$C$8:$AQ$8,TRUE)</f>
        <v>0</v>
      </c>
      <c r="K419" s="26" t="str" cm="1">
        <f t="array" ref="K419">IF(SUM(Quantity!O420:Z420)=0,"",SUM(Quantity!O420:Z420))</f>
        <v/>
      </c>
      <c r="L419" s="24" t="str" cm="1">
        <f t="array" ref="L419">IF(SUM(CA!O420:Z420)=0,"",SUM(CA!O420:Z420))</f>
        <v/>
      </c>
      <c r="M419" s="23" t="str" cm="1">
        <f t="array" ref="M419">IF(SUM(Quantity!C420:N420)=0,"",SUM(Quantity!C420:N420))</f>
        <v/>
      </c>
      <c r="N419" s="25" t="str" cm="1">
        <f t="array" ref="N419">IF(SUM(CA!C420:N420)=0,"",SUM(CA!C420:N420))</f>
        <v/>
      </c>
    </row>
    <row r="420" spans="1:14" x14ac:dyDescent="0.25">
      <c r="A420" s="1"/>
      <c r="B420" s="22" cm="1">
        <f t="array" ref="B420">Quantity!B421</f>
        <v>0</v>
      </c>
      <c r="C420" s="23" cm="1">
        <f t="array" ref="C420">Quantity!O421</f>
        <v>0</v>
      </c>
      <c r="D420" s="24" cm="1">
        <f t="array" ref="D420">CA!O421</f>
        <v>0</v>
      </c>
      <c r="E420" s="23" cm="1">
        <f t="array" ref="E420">Quantity!C421</f>
        <v>0</v>
      </c>
      <c r="F420" s="25" cm="1">
        <f t="array" ref="F420">CA!C421</f>
        <v>0</v>
      </c>
      <c r="G420" s="26" cm="1">
        <f t="array" aca="1" ref="G420" ca="1">SUMIFS(Quantity!$C421:$AH421,Quantity!$C$7:$AH$7,H$6,Quantity!$C$8:$AH$8,TRUE)</f>
        <v>0</v>
      </c>
      <c r="H420" s="24" cm="1">
        <f t="array" aca="1" ref="H420" ca="1">SUMIFS(CA!$C421:$AQ421,CA!$C$7:$AQ$7,H$6,CA!$C$8:$AQ$8,TRUE)</f>
        <v>0</v>
      </c>
      <c r="I420" s="23" cm="1">
        <f t="array" aca="1" ref="I420" ca="1">SUMIFS(Quantity!$C421:$AH421,Quantity!$C$7:$AH$7,J$6,Quantity!$C$8:$AH$8,TRUE)</f>
        <v>0</v>
      </c>
      <c r="J420" s="25" cm="1">
        <f t="array" aca="1" ref="J420" ca="1">SUMIFS(CA!$C421:$AQ421,CA!$C$7:$AQ$7,J$6,CA!$C$8:$AQ$8,TRUE)</f>
        <v>0</v>
      </c>
      <c r="K420" s="26" t="str" cm="1">
        <f t="array" ref="K420">IF(SUM(Quantity!O421:Z421)=0,"",SUM(Quantity!O421:Z421))</f>
        <v/>
      </c>
      <c r="L420" s="24" t="str" cm="1">
        <f t="array" ref="L420">IF(SUM(CA!O421:Z421)=0,"",SUM(CA!O421:Z421))</f>
        <v/>
      </c>
      <c r="M420" s="23" t="str" cm="1">
        <f t="array" ref="M420">IF(SUM(Quantity!C421:N421)=0,"",SUM(Quantity!C421:N421))</f>
        <v/>
      </c>
      <c r="N420" s="25" t="str" cm="1">
        <f t="array" ref="N420">IF(SUM(CA!C421:N421)=0,"",SUM(CA!C421:N421))</f>
        <v/>
      </c>
    </row>
    <row r="421" spans="1:14" x14ac:dyDescent="0.25">
      <c r="A421" s="1"/>
      <c r="B421" s="22" cm="1">
        <f t="array" ref="B421">Quantity!B422</f>
        <v>0</v>
      </c>
      <c r="C421" s="23" cm="1">
        <f t="array" ref="C421">Quantity!O422</f>
        <v>0</v>
      </c>
      <c r="D421" s="24" cm="1">
        <f t="array" ref="D421">CA!O422</f>
        <v>0</v>
      </c>
      <c r="E421" s="23" cm="1">
        <f t="array" ref="E421">Quantity!C422</f>
        <v>0</v>
      </c>
      <c r="F421" s="25" cm="1">
        <f t="array" ref="F421">CA!C422</f>
        <v>0</v>
      </c>
      <c r="G421" s="26" cm="1">
        <f t="array" aca="1" ref="G421" ca="1">SUMIFS(Quantity!$C422:$AH422,Quantity!$C$7:$AH$7,H$6,Quantity!$C$8:$AH$8,TRUE)</f>
        <v>0</v>
      </c>
      <c r="H421" s="24" cm="1">
        <f t="array" aca="1" ref="H421" ca="1">SUMIFS(CA!$C422:$AQ422,CA!$C$7:$AQ$7,H$6,CA!$C$8:$AQ$8,TRUE)</f>
        <v>0</v>
      </c>
      <c r="I421" s="23" cm="1">
        <f t="array" aca="1" ref="I421" ca="1">SUMIFS(Quantity!$C422:$AH422,Quantity!$C$7:$AH$7,J$6,Quantity!$C$8:$AH$8,TRUE)</f>
        <v>0</v>
      </c>
      <c r="J421" s="25" cm="1">
        <f t="array" aca="1" ref="J421" ca="1">SUMIFS(CA!$C422:$AQ422,CA!$C$7:$AQ$7,J$6,CA!$C$8:$AQ$8,TRUE)</f>
        <v>0</v>
      </c>
      <c r="K421" s="26" t="str" cm="1">
        <f t="array" ref="K421">IF(SUM(Quantity!O422:Z422)=0,"",SUM(Quantity!O422:Z422))</f>
        <v/>
      </c>
      <c r="L421" s="24" t="str" cm="1">
        <f t="array" ref="L421">IF(SUM(CA!O422:Z422)=0,"",SUM(CA!O422:Z422))</f>
        <v/>
      </c>
      <c r="M421" s="23" t="str" cm="1">
        <f t="array" ref="M421">IF(SUM(Quantity!C422:N422)=0,"",SUM(Quantity!C422:N422))</f>
        <v/>
      </c>
      <c r="N421" s="25" t="str" cm="1">
        <f t="array" ref="N421">IF(SUM(CA!C422:N422)=0,"",SUM(CA!C422:N422))</f>
        <v/>
      </c>
    </row>
    <row r="422" spans="1:14" x14ac:dyDescent="0.25">
      <c r="A422" s="1"/>
      <c r="B422" s="22" cm="1">
        <f t="array" ref="B422">Quantity!B423</f>
        <v>0</v>
      </c>
      <c r="C422" s="23" cm="1">
        <f t="array" ref="C422">Quantity!O423</f>
        <v>0</v>
      </c>
      <c r="D422" s="24" cm="1">
        <f t="array" ref="D422">CA!O423</f>
        <v>0</v>
      </c>
      <c r="E422" s="23" cm="1">
        <f t="array" ref="E422">Quantity!C423</f>
        <v>0</v>
      </c>
      <c r="F422" s="25" cm="1">
        <f t="array" ref="F422">CA!C423</f>
        <v>0</v>
      </c>
      <c r="G422" s="26" cm="1">
        <f t="array" aca="1" ref="G422" ca="1">SUMIFS(Quantity!$C423:$AH423,Quantity!$C$7:$AH$7,H$6,Quantity!$C$8:$AH$8,TRUE)</f>
        <v>0</v>
      </c>
      <c r="H422" s="24" cm="1">
        <f t="array" aca="1" ref="H422" ca="1">SUMIFS(CA!$C423:$AQ423,CA!$C$7:$AQ$7,H$6,CA!$C$8:$AQ$8,TRUE)</f>
        <v>0</v>
      </c>
      <c r="I422" s="23" cm="1">
        <f t="array" aca="1" ref="I422" ca="1">SUMIFS(Quantity!$C423:$AH423,Quantity!$C$7:$AH$7,J$6,Quantity!$C$8:$AH$8,TRUE)</f>
        <v>0</v>
      </c>
      <c r="J422" s="25" cm="1">
        <f t="array" aca="1" ref="J422" ca="1">SUMIFS(CA!$C423:$AQ423,CA!$C$7:$AQ$7,J$6,CA!$C$8:$AQ$8,TRUE)</f>
        <v>0</v>
      </c>
      <c r="K422" s="26" t="str" cm="1">
        <f t="array" ref="K422">IF(SUM(Quantity!O423:Z423)=0,"",SUM(Quantity!O423:Z423))</f>
        <v/>
      </c>
      <c r="L422" s="24" t="str" cm="1">
        <f t="array" ref="L422">IF(SUM(CA!O423:Z423)=0,"",SUM(CA!O423:Z423))</f>
        <v/>
      </c>
      <c r="M422" s="23" t="str" cm="1">
        <f t="array" ref="M422">IF(SUM(Quantity!C423:N423)=0,"",SUM(Quantity!C423:N423))</f>
        <v/>
      </c>
      <c r="N422" s="25" t="str" cm="1">
        <f t="array" ref="N422">IF(SUM(CA!C423:N423)=0,"",SUM(CA!C423:N423))</f>
        <v/>
      </c>
    </row>
    <row r="423" spans="1:14" x14ac:dyDescent="0.25">
      <c r="A423" s="1"/>
      <c r="B423" s="22" cm="1">
        <f t="array" ref="B423">Quantity!B424</f>
        <v>0</v>
      </c>
      <c r="C423" s="23" cm="1">
        <f t="array" ref="C423">Quantity!O424</f>
        <v>0</v>
      </c>
      <c r="D423" s="24" cm="1">
        <f t="array" ref="D423">CA!O424</f>
        <v>0</v>
      </c>
      <c r="E423" s="23" cm="1">
        <f t="array" ref="E423">Quantity!C424</f>
        <v>0</v>
      </c>
      <c r="F423" s="25" cm="1">
        <f t="array" ref="F423">CA!C424</f>
        <v>0</v>
      </c>
      <c r="G423" s="26" cm="1">
        <f t="array" aca="1" ref="G423" ca="1">SUMIFS(Quantity!$C424:$AH424,Quantity!$C$7:$AH$7,H$6,Quantity!$C$8:$AH$8,TRUE)</f>
        <v>0</v>
      </c>
      <c r="H423" s="24" cm="1">
        <f t="array" aca="1" ref="H423" ca="1">SUMIFS(CA!$C424:$AQ424,CA!$C$7:$AQ$7,H$6,CA!$C$8:$AQ$8,TRUE)</f>
        <v>0</v>
      </c>
      <c r="I423" s="23" cm="1">
        <f t="array" aca="1" ref="I423" ca="1">SUMIFS(Quantity!$C424:$AH424,Quantity!$C$7:$AH$7,J$6,Quantity!$C$8:$AH$8,TRUE)</f>
        <v>0</v>
      </c>
      <c r="J423" s="25" cm="1">
        <f t="array" aca="1" ref="J423" ca="1">SUMIFS(CA!$C424:$AQ424,CA!$C$7:$AQ$7,J$6,CA!$C$8:$AQ$8,TRUE)</f>
        <v>0</v>
      </c>
      <c r="K423" s="26" t="str" cm="1">
        <f t="array" ref="K423">IF(SUM(Quantity!O424:Z424)=0,"",SUM(Quantity!O424:Z424))</f>
        <v/>
      </c>
      <c r="L423" s="24" t="str" cm="1">
        <f t="array" ref="L423">IF(SUM(CA!O424:Z424)=0,"",SUM(CA!O424:Z424))</f>
        <v/>
      </c>
      <c r="M423" s="23" t="str" cm="1">
        <f t="array" ref="M423">IF(SUM(Quantity!C424:N424)=0,"",SUM(Quantity!C424:N424))</f>
        <v/>
      </c>
      <c r="N423" s="25" t="str" cm="1">
        <f t="array" ref="N423">IF(SUM(CA!C424:N424)=0,"",SUM(CA!C424:N424))</f>
        <v/>
      </c>
    </row>
    <row r="424" spans="1:14" x14ac:dyDescent="0.25">
      <c r="A424" s="1"/>
      <c r="B424" s="22" cm="1">
        <f t="array" ref="B424">Quantity!B425</f>
        <v>0</v>
      </c>
      <c r="C424" s="23" cm="1">
        <f t="array" ref="C424">Quantity!O425</f>
        <v>0</v>
      </c>
      <c r="D424" s="24" cm="1">
        <f t="array" ref="D424">CA!O425</f>
        <v>0</v>
      </c>
      <c r="E424" s="23" cm="1">
        <f t="array" ref="E424">Quantity!C425</f>
        <v>0</v>
      </c>
      <c r="F424" s="25" cm="1">
        <f t="array" ref="F424">CA!C425</f>
        <v>0</v>
      </c>
      <c r="G424" s="26" cm="1">
        <f t="array" aca="1" ref="G424" ca="1">SUMIFS(Quantity!$C425:$AH425,Quantity!$C$7:$AH$7,H$6,Quantity!$C$8:$AH$8,TRUE)</f>
        <v>0</v>
      </c>
      <c r="H424" s="24" cm="1">
        <f t="array" aca="1" ref="H424" ca="1">SUMIFS(CA!$C425:$AQ425,CA!$C$7:$AQ$7,H$6,CA!$C$8:$AQ$8,TRUE)</f>
        <v>0</v>
      </c>
      <c r="I424" s="23" cm="1">
        <f t="array" aca="1" ref="I424" ca="1">SUMIFS(Quantity!$C425:$AH425,Quantity!$C$7:$AH$7,J$6,Quantity!$C$8:$AH$8,TRUE)</f>
        <v>0</v>
      </c>
      <c r="J424" s="25" cm="1">
        <f t="array" aca="1" ref="J424" ca="1">SUMIFS(CA!$C425:$AQ425,CA!$C$7:$AQ$7,J$6,CA!$C$8:$AQ$8,TRUE)</f>
        <v>0</v>
      </c>
      <c r="K424" s="26" t="str" cm="1">
        <f t="array" ref="K424">IF(SUM(Quantity!O425:Z425)=0,"",SUM(Quantity!O425:Z425))</f>
        <v/>
      </c>
      <c r="L424" s="24" t="str" cm="1">
        <f t="array" ref="L424">IF(SUM(CA!O425:Z425)=0,"",SUM(CA!O425:Z425))</f>
        <v/>
      </c>
      <c r="M424" s="23" t="str" cm="1">
        <f t="array" ref="M424">IF(SUM(Quantity!C425:N425)=0,"",SUM(Quantity!C425:N425))</f>
        <v/>
      </c>
      <c r="N424" s="25" t="str" cm="1">
        <f t="array" ref="N424">IF(SUM(CA!C425:N425)=0,"",SUM(CA!C425:N425))</f>
        <v/>
      </c>
    </row>
    <row r="425" spans="1:14" x14ac:dyDescent="0.25">
      <c r="A425" s="1"/>
      <c r="B425" s="22" cm="1">
        <f t="array" ref="B425">Quantity!B426</f>
        <v>0</v>
      </c>
      <c r="C425" s="23" cm="1">
        <f t="array" ref="C425">Quantity!O426</f>
        <v>0</v>
      </c>
      <c r="D425" s="24" cm="1">
        <f t="array" ref="D425">CA!O426</f>
        <v>0</v>
      </c>
      <c r="E425" s="23" cm="1">
        <f t="array" ref="E425">Quantity!C426</f>
        <v>0</v>
      </c>
      <c r="F425" s="25" cm="1">
        <f t="array" ref="F425">CA!C426</f>
        <v>0</v>
      </c>
      <c r="G425" s="26" cm="1">
        <f t="array" aca="1" ref="G425" ca="1">SUMIFS(Quantity!$C426:$AH426,Quantity!$C$7:$AH$7,H$6,Quantity!$C$8:$AH$8,TRUE)</f>
        <v>0</v>
      </c>
      <c r="H425" s="24" cm="1">
        <f t="array" aca="1" ref="H425" ca="1">SUMIFS(CA!$C426:$AQ426,CA!$C$7:$AQ$7,H$6,CA!$C$8:$AQ$8,TRUE)</f>
        <v>0</v>
      </c>
      <c r="I425" s="23" cm="1">
        <f t="array" aca="1" ref="I425" ca="1">SUMIFS(Quantity!$C426:$AH426,Quantity!$C$7:$AH$7,J$6,Quantity!$C$8:$AH$8,TRUE)</f>
        <v>0</v>
      </c>
      <c r="J425" s="25" cm="1">
        <f t="array" aca="1" ref="J425" ca="1">SUMIFS(CA!$C426:$AQ426,CA!$C$7:$AQ$7,J$6,CA!$C$8:$AQ$8,TRUE)</f>
        <v>0</v>
      </c>
      <c r="K425" s="26" t="str" cm="1">
        <f t="array" ref="K425">IF(SUM(Quantity!O426:Z426)=0,"",SUM(Quantity!O426:Z426))</f>
        <v/>
      </c>
      <c r="L425" s="24" t="str" cm="1">
        <f t="array" ref="L425">IF(SUM(CA!O426:Z426)=0,"",SUM(CA!O426:Z426))</f>
        <v/>
      </c>
      <c r="M425" s="23" t="str" cm="1">
        <f t="array" ref="M425">IF(SUM(Quantity!C426:N426)=0,"",SUM(Quantity!C426:N426))</f>
        <v/>
      </c>
      <c r="N425" s="25" t="str" cm="1">
        <f t="array" ref="N425">IF(SUM(CA!C426:N426)=0,"",SUM(CA!C426:N426))</f>
        <v/>
      </c>
    </row>
    <row r="426" spans="1:14" x14ac:dyDescent="0.25">
      <c r="A426" s="1"/>
      <c r="B426" s="22" cm="1">
        <f t="array" ref="B426">Quantity!B427</f>
        <v>0</v>
      </c>
      <c r="C426" s="23" cm="1">
        <f t="array" ref="C426">Quantity!O427</f>
        <v>0</v>
      </c>
      <c r="D426" s="24" cm="1">
        <f t="array" ref="D426">CA!O427</f>
        <v>0</v>
      </c>
      <c r="E426" s="23" cm="1">
        <f t="array" ref="E426">Quantity!C427</f>
        <v>0</v>
      </c>
      <c r="F426" s="25" cm="1">
        <f t="array" ref="F426">CA!C427</f>
        <v>0</v>
      </c>
      <c r="G426" s="26" cm="1">
        <f t="array" aca="1" ref="G426" ca="1">SUMIFS(Quantity!$C427:$AH427,Quantity!$C$7:$AH$7,H$6,Quantity!$C$8:$AH$8,TRUE)</f>
        <v>0</v>
      </c>
      <c r="H426" s="24" cm="1">
        <f t="array" aca="1" ref="H426" ca="1">SUMIFS(CA!$C427:$AQ427,CA!$C$7:$AQ$7,H$6,CA!$C$8:$AQ$8,TRUE)</f>
        <v>0</v>
      </c>
      <c r="I426" s="23" cm="1">
        <f t="array" aca="1" ref="I426" ca="1">SUMIFS(Quantity!$C427:$AH427,Quantity!$C$7:$AH$7,J$6,Quantity!$C$8:$AH$8,TRUE)</f>
        <v>0</v>
      </c>
      <c r="J426" s="25" cm="1">
        <f t="array" aca="1" ref="J426" ca="1">SUMIFS(CA!$C427:$AQ427,CA!$C$7:$AQ$7,J$6,CA!$C$8:$AQ$8,TRUE)</f>
        <v>0</v>
      </c>
      <c r="K426" s="26" t="str" cm="1">
        <f t="array" ref="K426">IF(SUM(Quantity!O427:Z427)=0,"",SUM(Quantity!O427:Z427))</f>
        <v/>
      </c>
      <c r="L426" s="24" t="str" cm="1">
        <f t="array" ref="L426">IF(SUM(CA!O427:Z427)=0,"",SUM(CA!O427:Z427))</f>
        <v/>
      </c>
      <c r="M426" s="23" t="str" cm="1">
        <f t="array" ref="M426">IF(SUM(Quantity!C427:N427)=0,"",SUM(Quantity!C427:N427))</f>
        <v/>
      </c>
      <c r="N426" s="25" t="str" cm="1">
        <f t="array" ref="N426">IF(SUM(CA!C427:N427)=0,"",SUM(CA!C427:N427))</f>
        <v/>
      </c>
    </row>
    <row r="427" spans="1:14" x14ac:dyDescent="0.25">
      <c r="A427" s="1"/>
      <c r="B427" s="22" cm="1">
        <f t="array" ref="B427">Quantity!B428</f>
        <v>0</v>
      </c>
      <c r="C427" s="23" cm="1">
        <f t="array" ref="C427">Quantity!O428</f>
        <v>0</v>
      </c>
      <c r="D427" s="24" cm="1">
        <f t="array" ref="D427">CA!O428</f>
        <v>0</v>
      </c>
      <c r="E427" s="23" cm="1">
        <f t="array" ref="E427">Quantity!C428</f>
        <v>0</v>
      </c>
      <c r="F427" s="25" cm="1">
        <f t="array" ref="F427">CA!C428</f>
        <v>0</v>
      </c>
      <c r="G427" s="26" cm="1">
        <f t="array" aca="1" ref="G427" ca="1">SUMIFS(Quantity!$C428:$AH428,Quantity!$C$7:$AH$7,H$6,Quantity!$C$8:$AH$8,TRUE)</f>
        <v>0</v>
      </c>
      <c r="H427" s="24" cm="1">
        <f t="array" aca="1" ref="H427" ca="1">SUMIFS(CA!$C428:$AQ428,CA!$C$7:$AQ$7,H$6,CA!$C$8:$AQ$8,TRUE)</f>
        <v>0</v>
      </c>
      <c r="I427" s="23" cm="1">
        <f t="array" aca="1" ref="I427" ca="1">SUMIFS(Quantity!$C428:$AH428,Quantity!$C$7:$AH$7,J$6,Quantity!$C$8:$AH$8,TRUE)</f>
        <v>0</v>
      </c>
      <c r="J427" s="25" cm="1">
        <f t="array" aca="1" ref="J427" ca="1">SUMIFS(CA!$C428:$AQ428,CA!$C$7:$AQ$7,J$6,CA!$C$8:$AQ$8,TRUE)</f>
        <v>0</v>
      </c>
      <c r="K427" s="26" t="str" cm="1">
        <f t="array" ref="K427">IF(SUM(Quantity!O428:Z428)=0,"",SUM(Quantity!O428:Z428))</f>
        <v/>
      </c>
      <c r="L427" s="24" t="str" cm="1">
        <f t="array" ref="L427">IF(SUM(CA!O428:Z428)=0,"",SUM(CA!O428:Z428))</f>
        <v/>
      </c>
      <c r="M427" s="23" t="str" cm="1">
        <f t="array" ref="M427">IF(SUM(Quantity!C428:N428)=0,"",SUM(Quantity!C428:N428))</f>
        <v/>
      </c>
      <c r="N427" s="25" t="str" cm="1">
        <f t="array" ref="N427">IF(SUM(CA!C428:N428)=0,"",SUM(CA!C428:N428))</f>
        <v/>
      </c>
    </row>
    <row r="428" spans="1:14" x14ac:dyDescent="0.25">
      <c r="A428" s="1"/>
      <c r="B428" s="22" cm="1">
        <f t="array" ref="B428">Quantity!B429</f>
        <v>0</v>
      </c>
      <c r="C428" s="23" cm="1">
        <f t="array" ref="C428">Quantity!O429</f>
        <v>0</v>
      </c>
      <c r="D428" s="24" cm="1">
        <f t="array" ref="D428">CA!O429</f>
        <v>0</v>
      </c>
      <c r="E428" s="23" cm="1">
        <f t="array" ref="E428">Quantity!C429</f>
        <v>0</v>
      </c>
      <c r="F428" s="25" cm="1">
        <f t="array" ref="F428">CA!C429</f>
        <v>0</v>
      </c>
      <c r="G428" s="26" cm="1">
        <f t="array" aca="1" ref="G428" ca="1">SUMIFS(Quantity!$C429:$AH429,Quantity!$C$7:$AH$7,H$6,Quantity!$C$8:$AH$8,TRUE)</f>
        <v>0</v>
      </c>
      <c r="H428" s="24" cm="1">
        <f t="array" aca="1" ref="H428" ca="1">SUMIFS(CA!$C429:$AQ429,CA!$C$7:$AQ$7,H$6,CA!$C$8:$AQ$8,TRUE)</f>
        <v>0</v>
      </c>
      <c r="I428" s="23" cm="1">
        <f t="array" aca="1" ref="I428" ca="1">SUMIFS(Quantity!$C429:$AH429,Quantity!$C$7:$AH$7,J$6,Quantity!$C$8:$AH$8,TRUE)</f>
        <v>0</v>
      </c>
      <c r="J428" s="25" cm="1">
        <f t="array" aca="1" ref="J428" ca="1">SUMIFS(CA!$C429:$AQ429,CA!$C$7:$AQ$7,J$6,CA!$C$8:$AQ$8,TRUE)</f>
        <v>0</v>
      </c>
      <c r="K428" s="26" t="str" cm="1">
        <f t="array" ref="K428">IF(SUM(Quantity!O429:Z429)=0,"",SUM(Quantity!O429:Z429))</f>
        <v/>
      </c>
      <c r="L428" s="24" t="str" cm="1">
        <f t="array" ref="L428">IF(SUM(CA!O429:Z429)=0,"",SUM(CA!O429:Z429))</f>
        <v/>
      </c>
      <c r="M428" s="23" t="str" cm="1">
        <f t="array" ref="M428">IF(SUM(Quantity!C429:N429)=0,"",SUM(Quantity!C429:N429))</f>
        <v/>
      </c>
      <c r="N428" s="25" t="str" cm="1">
        <f t="array" ref="N428">IF(SUM(CA!C429:N429)=0,"",SUM(CA!C429:N429))</f>
        <v/>
      </c>
    </row>
    <row r="429" spans="1:14" x14ac:dyDescent="0.25">
      <c r="A429" s="1"/>
      <c r="B429" s="22" cm="1">
        <f t="array" ref="B429">Quantity!B430</f>
        <v>0</v>
      </c>
      <c r="C429" s="23" cm="1">
        <f t="array" ref="C429">Quantity!O430</f>
        <v>0</v>
      </c>
      <c r="D429" s="24" cm="1">
        <f t="array" ref="D429">CA!O430</f>
        <v>0</v>
      </c>
      <c r="E429" s="23" cm="1">
        <f t="array" ref="E429">Quantity!C430</f>
        <v>0</v>
      </c>
      <c r="F429" s="25" cm="1">
        <f t="array" ref="F429">CA!C430</f>
        <v>0</v>
      </c>
      <c r="G429" s="26" cm="1">
        <f t="array" aca="1" ref="G429" ca="1">SUMIFS(Quantity!$C430:$AH430,Quantity!$C$7:$AH$7,H$6,Quantity!$C$8:$AH$8,TRUE)</f>
        <v>0</v>
      </c>
      <c r="H429" s="24" cm="1">
        <f t="array" aca="1" ref="H429" ca="1">SUMIFS(CA!$C430:$AQ430,CA!$C$7:$AQ$7,H$6,CA!$C$8:$AQ$8,TRUE)</f>
        <v>0</v>
      </c>
      <c r="I429" s="23" cm="1">
        <f t="array" aca="1" ref="I429" ca="1">SUMIFS(Quantity!$C430:$AH430,Quantity!$C$7:$AH$7,J$6,Quantity!$C$8:$AH$8,TRUE)</f>
        <v>0</v>
      </c>
      <c r="J429" s="25" cm="1">
        <f t="array" aca="1" ref="J429" ca="1">SUMIFS(CA!$C430:$AQ430,CA!$C$7:$AQ$7,J$6,CA!$C$8:$AQ$8,TRUE)</f>
        <v>0</v>
      </c>
      <c r="K429" s="26" t="str" cm="1">
        <f t="array" ref="K429">IF(SUM(Quantity!O430:Z430)=0,"",SUM(Quantity!O430:Z430))</f>
        <v/>
      </c>
      <c r="L429" s="24" t="str" cm="1">
        <f t="array" ref="L429">IF(SUM(CA!O430:Z430)=0,"",SUM(CA!O430:Z430))</f>
        <v/>
      </c>
      <c r="M429" s="23" t="str" cm="1">
        <f t="array" ref="M429">IF(SUM(Quantity!C430:N430)=0,"",SUM(Quantity!C430:N430))</f>
        <v/>
      </c>
      <c r="N429" s="25" t="str" cm="1">
        <f t="array" ref="N429">IF(SUM(CA!C430:N430)=0,"",SUM(CA!C430:N430))</f>
        <v/>
      </c>
    </row>
    <row r="430" spans="1:14" x14ac:dyDescent="0.25">
      <c r="A430" s="1"/>
      <c r="B430" s="22" cm="1">
        <f t="array" ref="B430">Quantity!B431</f>
        <v>0</v>
      </c>
      <c r="C430" s="23" cm="1">
        <f t="array" ref="C430">Quantity!O431</f>
        <v>0</v>
      </c>
      <c r="D430" s="24" cm="1">
        <f t="array" ref="D430">CA!O431</f>
        <v>0</v>
      </c>
      <c r="E430" s="23" cm="1">
        <f t="array" ref="E430">Quantity!C431</f>
        <v>0</v>
      </c>
      <c r="F430" s="25" cm="1">
        <f t="array" ref="F430">CA!C431</f>
        <v>0</v>
      </c>
      <c r="G430" s="26" cm="1">
        <f t="array" aca="1" ref="G430" ca="1">SUMIFS(Quantity!$C431:$AH431,Quantity!$C$7:$AH$7,H$6,Quantity!$C$8:$AH$8,TRUE)</f>
        <v>0</v>
      </c>
      <c r="H430" s="24" cm="1">
        <f t="array" aca="1" ref="H430" ca="1">SUMIFS(CA!$C431:$AQ431,CA!$C$7:$AQ$7,H$6,CA!$C$8:$AQ$8,TRUE)</f>
        <v>0</v>
      </c>
      <c r="I430" s="23" cm="1">
        <f t="array" aca="1" ref="I430" ca="1">SUMIFS(Quantity!$C431:$AH431,Quantity!$C$7:$AH$7,J$6,Quantity!$C$8:$AH$8,TRUE)</f>
        <v>0</v>
      </c>
      <c r="J430" s="25" cm="1">
        <f t="array" aca="1" ref="J430" ca="1">SUMIFS(CA!$C431:$AQ431,CA!$C$7:$AQ$7,J$6,CA!$C$8:$AQ$8,TRUE)</f>
        <v>0</v>
      </c>
      <c r="K430" s="26" t="str" cm="1">
        <f t="array" ref="K430">IF(SUM(Quantity!O431:Z431)=0,"",SUM(Quantity!O431:Z431))</f>
        <v/>
      </c>
      <c r="L430" s="24" t="str" cm="1">
        <f t="array" ref="L430">IF(SUM(CA!O431:Z431)=0,"",SUM(CA!O431:Z431))</f>
        <v/>
      </c>
      <c r="M430" s="23" t="str" cm="1">
        <f t="array" ref="M430">IF(SUM(Quantity!C431:N431)=0,"",SUM(Quantity!C431:N431))</f>
        <v/>
      </c>
      <c r="N430" s="25" t="str" cm="1">
        <f t="array" ref="N430">IF(SUM(CA!C431:N431)=0,"",SUM(CA!C431:N431))</f>
        <v/>
      </c>
    </row>
    <row r="431" spans="1:14" x14ac:dyDescent="0.25">
      <c r="A431" s="1"/>
      <c r="B431" s="22" cm="1">
        <f t="array" ref="B431">Quantity!B432</f>
        <v>0</v>
      </c>
      <c r="C431" s="23" cm="1">
        <f t="array" ref="C431">Quantity!O432</f>
        <v>0</v>
      </c>
      <c r="D431" s="24" cm="1">
        <f t="array" ref="D431">CA!O432</f>
        <v>0</v>
      </c>
      <c r="E431" s="23" cm="1">
        <f t="array" ref="E431">Quantity!C432</f>
        <v>0</v>
      </c>
      <c r="F431" s="25" cm="1">
        <f t="array" ref="F431">CA!C432</f>
        <v>0</v>
      </c>
      <c r="G431" s="26" cm="1">
        <f t="array" aca="1" ref="G431" ca="1">SUMIFS(Quantity!$C432:$AH432,Quantity!$C$7:$AH$7,H$6,Quantity!$C$8:$AH$8,TRUE)</f>
        <v>0</v>
      </c>
      <c r="H431" s="24" cm="1">
        <f t="array" aca="1" ref="H431" ca="1">SUMIFS(CA!$C432:$AQ432,CA!$C$7:$AQ$7,H$6,CA!$C$8:$AQ$8,TRUE)</f>
        <v>0</v>
      </c>
      <c r="I431" s="23" cm="1">
        <f t="array" aca="1" ref="I431" ca="1">SUMIFS(Quantity!$C432:$AH432,Quantity!$C$7:$AH$7,J$6,Quantity!$C$8:$AH$8,TRUE)</f>
        <v>0</v>
      </c>
      <c r="J431" s="25" cm="1">
        <f t="array" aca="1" ref="J431" ca="1">SUMIFS(CA!$C432:$AQ432,CA!$C$7:$AQ$7,J$6,CA!$C$8:$AQ$8,TRUE)</f>
        <v>0</v>
      </c>
      <c r="K431" s="26" t="str" cm="1">
        <f t="array" ref="K431">IF(SUM(Quantity!O432:Z432)=0,"",SUM(Quantity!O432:Z432))</f>
        <v/>
      </c>
      <c r="L431" s="24" t="str" cm="1">
        <f t="array" ref="L431">IF(SUM(CA!O432:Z432)=0,"",SUM(CA!O432:Z432))</f>
        <v/>
      </c>
      <c r="M431" s="23" t="str" cm="1">
        <f t="array" ref="M431">IF(SUM(Quantity!C432:N432)=0,"",SUM(Quantity!C432:N432))</f>
        <v/>
      </c>
      <c r="N431" s="25" t="str" cm="1">
        <f t="array" ref="N431">IF(SUM(CA!C432:N432)=0,"",SUM(CA!C432:N432))</f>
        <v/>
      </c>
    </row>
    <row r="432" spans="1:14" x14ac:dyDescent="0.25">
      <c r="A432" s="1"/>
      <c r="B432" s="22" cm="1">
        <f t="array" ref="B432">Quantity!B433</f>
        <v>0</v>
      </c>
      <c r="C432" s="23" cm="1">
        <f t="array" ref="C432">Quantity!O433</f>
        <v>0</v>
      </c>
      <c r="D432" s="24" cm="1">
        <f t="array" ref="D432">CA!O433</f>
        <v>0</v>
      </c>
      <c r="E432" s="23" cm="1">
        <f t="array" ref="E432">Quantity!C433</f>
        <v>0</v>
      </c>
      <c r="F432" s="25" cm="1">
        <f t="array" ref="F432">CA!C433</f>
        <v>0</v>
      </c>
      <c r="G432" s="26" cm="1">
        <f t="array" aca="1" ref="G432" ca="1">SUMIFS(Quantity!$C433:$AH433,Quantity!$C$7:$AH$7,H$6,Quantity!$C$8:$AH$8,TRUE)</f>
        <v>0</v>
      </c>
      <c r="H432" s="24" cm="1">
        <f t="array" aca="1" ref="H432" ca="1">SUMIFS(CA!$C433:$AQ433,CA!$C$7:$AQ$7,H$6,CA!$C$8:$AQ$8,TRUE)</f>
        <v>0</v>
      </c>
      <c r="I432" s="23" cm="1">
        <f t="array" aca="1" ref="I432" ca="1">SUMIFS(Quantity!$C433:$AH433,Quantity!$C$7:$AH$7,J$6,Quantity!$C$8:$AH$8,TRUE)</f>
        <v>0</v>
      </c>
      <c r="J432" s="25" cm="1">
        <f t="array" aca="1" ref="J432" ca="1">SUMIFS(CA!$C433:$AQ433,CA!$C$7:$AQ$7,J$6,CA!$C$8:$AQ$8,TRUE)</f>
        <v>0</v>
      </c>
      <c r="K432" s="26" t="str" cm="1">
        <f t="array" ref="K432">IF(SUM(Quantity!O433:Z433)=0,"",SUM(Quantity!O433:Z433))</f>
        <v/>
      </c>
      <c r="L432" s="24" t="str" cm="1">
        <f t="array" ref="L432">IF(SUM(CA!O433:Z433)=0,"",SUM(CA!O433:Z433))</f>
        <v/>
      </c>
      <c r="M432" s="23" t="str" cm="1">
        <f t="array" ref="M432">IF(SUM(Quantity!C433:N433)=0,"",SUM(Quantity!C433:N433))</f>
        <v/>
      </c>
      <c r="N432" s="25" t="str" cm="1">
        <f t="array" ref="N432">IF(SUM(CA!C433:N433)=0,"",SUM(CA!C433:N433))</f>
        <v/>
      </c>
    </row>
    <row r="433" spans="1:14" x14ac:dyDescent="0.25">
      <c r="A433" s="1"/>
      <c r="B433" s="22" cm="1">
        <f t="array" ref="B433">Quantity!B434</f>
        <v>0</v>
      </c>
      <c r="C433" s="23" cm="1">
        <f t="array" ref="C433">Quantity!O434</f>
        <v>0</v>
      </c>
      <c r="D433" s="24" cm="1">
        <f t="array" ref="D433">CA!O434</f>
        <v>0</v>
      </c>
      <c r="E433" s="23" cm="1">
        <f t="array" ref="E433">Quantity!C434</f>
        <v>0</v>
      </c>
      <c r="F433" s="25" cm="1">
        <f t="array" ref="F433">CA!C434</f>
        <v>0</v>
      </c>
      <c r="G433" s="26" cm="1">
        <f t="array" aca="1" ref="G433" ca="1">SUMIFS(Quantity!$C434:$AH434,Quantity!$C$7:$AH$7,H$6,Quantity!$C$8:$AH$8,TRUE)</f>
        <v>0</v>
      </c>
      <c r="H433" s="24" cm="1">
        <f t="array" aca="1" ref="H433" ca="1">SUMIFS(CA!$C434:$AQ434,CA!$C$7:$AQ$7,H$6,CA!$C$8:$AQ$8,TRUE)</f>
        <v>0</v>
      </c>
      <c r="I433" s="23" cm="1">
        <f t="array" aca="1" ref="I433" ca="1">SUMIFS(Quantity!$C434:$AH434,Quantity!$C$7:$AH$7,J$6,Quantity!$C$8:$AH$8,TRUE)</f>
        <v>0</v>
      </c>
      <c r="J433" s="25" cm="1">
        <f t="array" aca="1" ref="J433" ca="1">SUMIFS(CA!$C434:$AQ434,CA!$C$7:$AQ$7,J$6,CA!$C$8:$AQ$8,TRUE)</f>
        <v>0</v>
      </c>
      <c r="K433" s="26" t="str" cm="1">
        <f t="array" ref="K433">IF(SUM(Quantity!O434:Z434)=0,"",SUM(Quantity!O434:Z434))</f>
        <v/>
      </c>
      <c r="L433" s="24" t="str" cm="1">
        <f t="array" ref="L433">IF(SUM(CA!O434:Z434)=0,"",SUM(CA!O434:Z434))</f>
        <v/>
      </c>
      <c r="M433" s="23" t="str" cm="1">
        <f t="array" ref="M433">IF(SUM(Quantity!C434:N434)=0,"",SUM(Quantity!C434:N434))</f>
        <v/>
      </c>
      <c r="N433" s="25" t="str" cm="1">
        <f t="array" ref="N433">IF(SUM(CA!C434:N434)=0,"",SUM(CA!C434:N434))</f>
        <v/>
      </c>
    </row>
    <row r="434" spans="1:14" x14ac:dyDescent="0.25">
      <c r="A434" s="1"/>
      <c r="B434" s="22" cm="1">
        <f t="array" ref="B434">Quantity!B435</f>
        <v>0</v>
      </c>
      <c r="C434" s="23" cm="1">
        <f t="array" ref="C434">Quantity!O435</f>
        <v>0</v>
      </c>
      <c r="D434" s="24" cm="1">
        <f t="array" ref="D434">CA!O435</f>
        <v>0</v>
      </c>
      <c r="E434" s="23" cm="1">
        <f t="array" ref="E434">Quantity!C435</f>
        <v>0</v>
      </c>
      <c r="F434" s="25" cm="1">
        <f t="array" ref="F434">CA!C435</f>
        <v>0</v>
      </c>
      <c r="G434" s="26" cm="1">
        <f t="array" aca="1" ref="G434" ca="1">SUMIFS(Quantity!$C435:$AH435,Quantity!$C$7:$AH$7,H$6,Quantity!$C$8:$AH$8,TRUE)</f>
        <v>0</v>
      </c>
      <c r="H434" s="24" cm="1">
        <f t="array" aca="1" ref="H434" ca="1">SUMIFS(CA!$C435:$AQ435,CA!$C$7:$AQ$7,H$6,CA!$C$8:$AQ$8,TRUE)</f>
        <v>0</v>
      </c>
      <c r="I434" s="23" cm="1">
        <f t="array" aca="1" ref="I434" ca="1">SUMIFS(Quantity!$C435:$AH435,Quantity!$C$7:$AH$7,J$6,Quantity!$C$8:$AH$8,TRUE)</f>
        <v>0</v>
      </c>
      <c r="J434" s="25" cm="1">
        <f t="array" aca="1" ref="J434" ca="1">SUMIFS(CA!$C435:$AQ435,CA!$C$7:$AQ$7,J$6,CA!$C$8:$AQ$8,TRUE)</f>
        <v>0</v>
      </c>
      <c r="K434" s="26" t="str" cm="1">
        <f t="array" ref="K434">IF(SUM(Quantity!O435:Z435)=0,"",SUM(Quantity!O435:Z435))</f>
        <v/>
      </c>
      <c r="L434" s="24" t="str" cm="1">
        <f t="array" ref="L434">IF(SUM(CA!O435:Z435)=0,"",SUM(CA!O435:Z435))</f>
        <v/>
      </c>
      <c r="M434" s="23" t="str" cm="1">
        <f t="array" ref="M434">IF(SUM(Quantity!C435:N435)=0,"",SUM(Quantity!C435:N435))</f>
        <v/>
      </c>
      <c r="N434" s="25" t="str" cm="1">
        <f t="array" ref="N434">IF(SUM(CA!C435:N435)=0,"",SUM(CA!C435:N435))</f>
        <v/>
      </c>
    </row>
    <row r="435" spans="1:14" x14ac:dyDescent="0.25">
      <c r="A435" s="1"/>
      <c r="B435" s="22" cm="1">
        <f t="array" ref="B435">Quantity!B436</f>
        <v>0</v>
      </c>
      <c r="C435" s="23" cm="1">
        <f t="array" ref="C435">Quantity!O436</f>
        <v>0</v>
      </c>
      <c r="D435" s="24" cm="1">
        <f t="array" ref="D435">CA!O436</f>
        <v>0</v>
      </c>
      <c r="E435" s="23" cm="1">
        <f t="array" ref="E435">Quantity!C436</f>
        <v>0</v>
      </c>
      <c r="F435" s="25" cm="1">
        <f t="array" ref="F435">CA!C436</f>
        <v>0</v>
      </c>
      <c r="G435" s="26" cm="1">
        <f t="array" aca="1" ref="G435" ca="1">SUMIFS(Quantity!$C436:$AH436,Quantity!$C$7:$AH$7,H$6,Quantity!$C$8:$AH$8,TRUE)</f>
        <v>0</v>
      </c>
      <c r="H435" s="24" cm="1">
        <f t="array" aca="1" ref="H435" ca="1">SUMIFS(CA!$C436:$AQ436,CA!$C$7:$AQ$7,H$6,CA!$C$8:$AQ$8,TRUE)</f>
        <v>0</v>
      </c>
      <c r="I435" s="23" cm="1">
        <f t="array" aca="1" ref="I435" ca="1">SUMIFS(Quantity!$C436:$AH436,Quantity!$C$7:$AH$7,J$6,Quantity!$C$8:$AH$8,TRUE)</f>
        <v>0</v>
      </c>
      <c r="J435" s="25" cm="1">
        <f t="array" aca="1" ref="J435" ca="1">SUMIFS(CA!$C436:$AQ436,CA!$C$7:$AQ$7,J$6,CA!$C$8:$AQ$8,TRUE)</f>
        <v>0</v>
      </c>
      <c r="K435" s="26" t="str" cm="1">
        <f t="array" ref="K435">IF(SUM(Quantity!O436:Z436)=0,"",SUM(Quantity!O436:Z436))</f>
        <v/>
      </c>
      <c r="L435" s="24" t="str" cm="1">
        <f t="array" ref="L435">IF(SUM(CA!O436:Z436)=0,"",SUM(CA!O436:Z436))</f>
        <v/>
      </c>
      <c r="M435" s="23" t="str" cm="1">
        <f t="array" ref="M435">IF(SUM(Quantity!C436:N436)=0,"",SUM(Quantity!C436:N436))</f>
        <v/>
      </c>
      <c r="N435" s="25" t="str" cm="1">
        <f t="array" ref="N435">IF(SUM(CA!C436:N436)=0,"",SUM(CA!C436:N436))</f>
        <v/>
      </c>
    </row>
    <row r="436" spans="1:14" x14ac:dyDescent="0.25">
      <c r="A436" s="1"/>
      <c r="B436" s="22" cm="1">
        <f t="array" ref="B436">Quantity!B437</f>
        <v>0</v>
      </c>
      <c r="C436" s="23" cm="1">
        <f t="array" ref="C436">Quantity!O437</f>
        <v>0</v>
      </c>
      <c r="D436" s="24" cm="1">
        <f t="array" ref="D436">CA!O437</f>
        <v>0</v>
      </c>
      <c r="E436" s="23" cm="1">
        <f t="array" ref="E436">Quantity!C437</f>
        <v>0</v>
      </c>
      <c r="F436" s="25" cm="1">
        <f t="array" ref="F436">CA!C437</f>
        <v>0</v>
      </c>
      <c r="G436" s="26" cm="1">
        <f t="array" aca="1" ref="G436" ca="1">SUMIFS(Quantity!$C437:$AH437,Quantity!$C$7:$AH$7,H$6,Quantity!$C$8:$AH$8,TRUE)</f>
        <v>0</v>
      </c>
      <c r="H436" s="24" cm="1">
        <f t="array" aca="1" ref="H436" ca="1">SUMIFS(CA!$C437:$AQ437,CA!$C$7:$AQ$7,H$6,CA!$C$8:$AQ$8,TRUE)</f>
        <v>0</v>
      </c>
      <c r="I436" s="23" cm="1">
        <f t="array" aca="1" ref="I436" ca="1">SUMIFS(Quantity!$C437:$AH437,Quantity!$C$7:$AH$7,J$6,Quantity!$C$8:$AH$8,TRUE)</f>
        <v>0</v>
      </c>
      <c r="J436" s="25" cm="1">
        <f t="array" aca="1" ref="J436" ca="1">SUMIFS(CA!$C437:$AQ437,CA!$C$7:$AQ$7,J$6,CA!$C$8:$AQ$8,TRUE)</f>
        <v>0</v>
      </c>
      <c r="K436" s="26" t="str" cm="1">
        <f t="array" ref="K436">IF(SUM(Quantity!O437:Z437)=0,"",SUM(Quantity!O437:Z437))</f>
        <v/>
      </c>
      <c r="L436" s="24" t="str" cm="1">
        <f t="array" ref="L436">IF(SUM(CA!O437:Z437)=0,"",SUM(CA!O437:Z437))</f>
        <v/>
      </c>
      <c r="M436" s="23" t="str" cm="1">
        <f t="array" ref="M436">IF(SUM(Quantity!C437:N437)=0,"",SUM(Quantity!C437:N437))</f>
        <v/>
      </c>
      <c r="N436" s="25" t="str" cm="1">
        <f t="array" ref="N436">IF(SUM(CA!C437:N437)=0,"",SUM(CA!C437:N437))</f>
        <v/>
      </c>
    </row>
    <row r="437" spans="1:14" x14ac:dyDescent="0.25">
      <c r="A437" s="1"/>
      <c r="B437" s="22" cm="1">
        <f t="array" ref="B437">Quantity!B438</f>
        <v>0</v>
      </c>
      <c r="C437" s="23" cm="1">
        <f t="array" ref="C437">Quantity!O438</f>
        <v>0</v>
      </c>
      <c r="D437" s="24" cm="1">
        <f t="array" ref="D437">CA!O438</f>
        <v>0</v>
      </c>
      <c r="E437" s="23" cm="1">
        <f t="array" ref="E437">Quantity!C438</f>
        <v>0</v>
      </c>
      <c r="F437" s="25" cm="1">
        <f t="array" ref="F437">CA!C438</f>
        <v>0</v>
      </c>
      <c r="G437" s="26" cm="1">
        <f t="array" aca="1" ref="G437" ca="1">SUMIFS(Quantity!$C438:$AH438,Quantity!$C$7:$AH$7,H$6,Quantity!$C$8:$AH$8,TRUE)</f>
        <v>0</v>
      </c>
      <c r="H437" s="24" cm="1">
        <f t="array" aca="1" ref="H437" ca="1">SUMIFS(CA!$C438:$AQ438,CA!$C$7:$AQ$7,H$6,CA!$C$8:$AQ$8,TRUE)</f>
        <v>0</v>
      </c>
      <c r="I437" s="23" cm="1">
        <f t="array" aca="1" ref="I437" ca="1">SUMIFS(Quantity!$C438:$AH438,Quantity!$C$7:$AH$7,J$6,Quantity!$C$8:$AH$8,TRUE)</f>
        <v>0</v>
      </c>
      <c r="J437" s="25" cm="1">
        <f t="array" aca="1" ref="J437" ca="1">SUMIFS(CA!$C438:$AQ438,CA!$C$7:$AQ$7,J$6,CA!$C$8:$AQ$8,TRUE)</f>
        <v>0</v>
      </c>
      <c r="K437" s="26" t="str" cm="1">
        <f t="array" ref="K437">IF(SUM(Quantity!O438:Z438)=0,"",SUM(Quantity!O438:Z438))</f>
        <v/>
      </c>
      <c r="L437" s="24" t="str" cm="1">
        <f t="array" ref="L437">IF(SUM(CA!O438:Z438)=0,"",SUM(CA!O438:Z438))</f>
        <v/>
      </c>
      <c r="M437" s="23" t="str" cm="1">
        <f t="array" ref="M437">IF(SUM(Quantity!C438:N438)=0,"",SUM(Quantity!C438:N438))</f>
        <v/>
      </c>
      <c r="N437" s="25" t="str" cm="1">
        <f t="array" ref="N437">IF(SUM(CA!C438:N438)=0,"",SUM(CA!C438:N438))</f>
        <v/>
      </c>
    </row>
    <row r="438" spans="1:14" x14ac:dyDescent="0.25">
      <c r="A438" s="1"/>
      <c r="B438" s="22" cm="1">
        <f t="array" ref="B438">Quantity!B439</f>
        <v>0</v>
      </c>
      <c r="C438" s="23" cm="1">
        <f t="array" ref="C438">Quantity!O439</f>
        <v>0</v>
      </c>
      <c r="D438" s="24" cm="1">
        <f t="array" ref="D438">CA!O439</f>
        <v>0</v>
      </c>
      <c r="E438" s="23" cm="1">
        <f t="array" ref="E438">Quantity!C439</f>
        <v>0</v>
      </c>
      <c r="F438" s="25" cm="1">
        <f t="array" ref="F438">CA!C439</f>
        <v>0</v>
      </c>
      <c r="G438" s="26" cm="1">
        <f t="array" aca="1" ref="G438" ca="1">SUMIFS(Quantity!$C439:$AH439,Quantity!$C$7:$AH$7,H$6,Quantity!$C$8:$AH$8,TRUE)</f>
        <v>0</v>
      </c>
      <c r="H438" s="24" cm="1">
        <f t="array" aca="1" ref="H438" ca="1">SUMIFS(CA!$C439:$AQ439,CA!$C$7:$AQ$7,H$6,CA!$C$8:$AQ$8,TRUE)</f>
        <v>0</v>
      </c>
      <c r="I438" s="23" cm="1">
        <f t="array" aca="1" ref="I438" ca="1">SUMIFS(Quantity!$C439:$AH439,Quantity!$C$7:$AH$7,J$6,Quantity!$C$8:$AH$8,TRUE)</f>
        <v>0</v>
      </c>
      <c r="J438" s="25" cm="1">
        <f t="array" aca="1" ref="J438" ca="1">SUMIFS(CA!$C439:$AQ439,CA!$C$7:$AQ$7,J$6,CA!$C$8:$AQ$8,TRUE)</f>
        <v>0</v>
      </c>
      <c r="K438" s="26" t="str" cm="1">
        <f t="array" ref="K438">IF(SUM(Quantity!O439:Z439)=0,"",SUM(Quantity!O439:Z439))</f>
        <v/>
      </c>
      <c r="L438" s="24" t="str" cm="1">
        <f t="array" ref="L438">IF(SUM(CA!O439:Z439)=0,"",SUM(CA!O439:Z439))</f>
        <v/>
      </c>
      <c r="M438" s="23" t="str" cm="1">
        <f t="array" ref="M438">IF(SUM(Quantity!C439:N439)=0,"",SUM(Quantity!C439:N439))</f>
        <v/>
      </c>
      <c r="N438" s="25" t="str" cm="1">
        <f t="array" ref="N438">IF(SUM(CA!C439:N439)=0,"",SUM(CA!C439:N439))</f>
        <v/>
      </c>
    </row>
    <row r="439" spans="1:14" x14ac:dyDescent="0.25">
      <c r="A439" s="1"/>
      <c r="B439" s="22" cm="1">
        <f t="array" ref="B439">Quantity!B440</f>
        <v>0</v>
      </c>
      <c r="C439" s="23" cm="1">
        <f t="array" ref="C439">Quantity!O440</f>
        <v>0</v>
      </c>
      <c r="D439" s="24" cm="1">
        <f t="array" ref="D439">CA!O440</f>
        <v>0</v>
      </c>
      <c r="E439" s="23" cm="1">
        <f t="array" ref="E439">Quantity!C440</f>
        <v>0</v>
      </c>
      <c r="F439" s="25" cm="1">
        <f t="array" ref="F439">CA!C440</f>
        <v>0</v>
      </c>
      <c r="G439" s="26" cm="1">
        <f t="array" aca="1" ref="G439" ca="1">SUMIFS(Quantity!$C440:$AH440,Quantity!$C$7:$AH$7,H$6,Quantity!$C$8:$AH$8,TRUE)</f>
        <v>0</v>
      </c>
      <c r="H439" s="24" cm="1">
        <f t="array" aca="1" ref="H439" ca="1">SUMIFS(CA!$C440:$AQ440,CA!$C$7:$AQ$7,H$6,CA!$C$8:$AQ$8,TRUE)</f>
        <v>0</v>
      </c>
      <c r="I439" s="23" cm="1">
        <f t="array" aca="1" ref="I439" ca="1">SUMIFS(Quantity!$C440:$AH440,Quantity!$C$7:$AH$7,J$6,Quantity!$C$8:$AH$8,TRUE)</f>
        <v>0</v>
      </c>
      <c r="J439" s="25" cm="1">
        <f t="array" aca="1" ref="J439" ca="1">SUMIFS(CA!$C440:$AQ440,CA!$C$7:$AQ$7,J$6,CA!$C$8:$AQ$8,TRUE)</f>
        <v>0</v>
      </c>
      <c r="K439" s="26" t="str" cm="1">
        <f t="array" ref="K439">IF(SUM(Quantity!O440:Z440)=0,"",SUM(Quantity!O440:Z440))</f>
        <v/>
      </c>
      <c r="L439" s="24" t="str" cm="1">
        <f t="array" ref="L439">IF(SUM(CA!O440:Z440)=0,"",SUM(CA!O440:Z440))</f>
        <v/>
      </c>
      <c r="M439" s="23" t="str" cm="1">
        <f t="array" ref="M439">IF(SUM(Quantity!C440:N440)=0,"",SUM(Quantity!C440:N440))</f>
        <v/>
      </c>
      <c r="N439" s="25" t="str" cm="1">
        <f t="array" ref="N439">IF(SUM(CA!C440:N440)=0,"",SUM(CA!C440:N440))</f>
        <v/>
      </c>
    </row>
    <row r="440" spans="1:14" x14ac:dyDescent="0.25">
      <c r="A440" s="1"/>
      <c r="B440" s="22" cm="1">
        <f t="array" ref="B440">Quantity!B441</f>
        <v>0</v>
      </c>
      <c r="C440" s="23" cm="1">
        <f t="array" ref="C440">Quantity!O441</f>
        <v>0</v>
      </c>
      <c r="D440" s="24" cm="1">
        <f t="array" ref="D440">CA!O441</f>
        <v>0</v>
      </c>
      <c r="E440" s="23" cm="1">
        <f t="array" ref="E440">Quantity!C441</f>
        <v>0</v>
      </c>
      <c r="F440" s="25" cm="1">
        <f t="array" ref="F440">CA!C441</f>
        <v>0</v>
      </c>
      <c r="G440" s="26" cm="1">
        <f t="array" aca="1" ref="G440" ca="1">SUMIFS(Quantity!$C441:$AH441,Quantity!$C$7:$AH$7,H$6,Quantity!$C$8:$AH$8,TRUE)</f>
        <v>0</v>
      </c>
      <c r="H440" s="24" cm="1">
        <f t="array" aca="1" ref="H440" ca="1">SUMIFS(CA!$C441:$AQ441,CA!$C$7:$AQ$7,H$6,CA!$C$8:$AQ$8,TRUE)</f>
        <v>0</v>
      </c>
      <c r="I440" s="23" cm="1">
        <f t="array" aca="1" ref="I440" ca="1">SUMIFS(Quantity!$C441:$AH441,Quantity!$C$7:$AH$7,J$6,Quantity!$C$8:$AH$8,TRUE)</f>
        <v>0</v>
      </c>
      <c r="J440" s="25" cm="1">
        <f t="array" aca="1" ref="J440" ca="1">SUMIFS(CA!$C441:$AQ441,CA!$C$7:$AQ$7,J$6,CA!$C$8:$AQ$8,TRUE)</f>
        <v>0</v>
      </c>
      <c r="K440" s="26" t="str" cm="1">
        <f t="array" ref="K440">IF(SUM(Quantity!O441:Z441)=0,"",SUM(Quantity!O441:Z441))</f>
        <v/>
      </c>
      <c r="L440" s="24" t="str" cm="1">
        <f t="array" ref="L440">IF(SUM(CA!O441:Z441)=0,"",SUM(CA!O441:Z441))</f>
        <v/>
      </c>
      <c r="M440" s="23" t="str" cm="1">
        <f t="array" ref="M440">IF(SUM(Quantity!C441:N441)=0,"",SUM(Quantity!C441:N441))</f>
        <v/>
      </c>
      <c r="N440" s="25" t="str" cm="1">
        <f t="array" ref="N440">IF(SUM(CA!C441:N441)=0,"",SUM(CA!C441:N441))</f>
        <v/>
      </c>
    </row>
    <row r="441" spans="1:14" x14ac:dyDescent="0.25">
      <c r="A441" s="1"/>
      <c r="B441" s="22" cm="1">
        <f t="array" ref="B441">Quantity!B442</f>
        <v>0</v>
      </c>
      <c r="C441" s="23" cm="1">
        <f t="array" ref="C441">Quantity!O442</f>
        <v>0</v>
      </c>
      <c r="D441" s="24" cm="1">
        <f t="array" ref="D441">CA!O442</f>
        <v>0</v>
      </c>
      <c r="E441" s="23" cm="1">
        <f t="array" ref="E441">Quantity!C442</f>
        <v>0</v>
      </c>
      <c r="F441" s="25" cm="1">
        <f t="array" ref="F441">CA!C442</f>
        <v>0</v>
      </c>
      <c r="G441" s="26" cm="1">
        <f t="array" aca="1" ref="G441" ca="1">SUMIFS(Quantity!$C442:$AH442,Quantity!$C$7:$AH$7,H$6,Quantity!$C$8:$AH$8,TRUE)</f>
        <v>0</v>
      </c>
      <c r="H441" s="24" cm="1">
        <f t="array" aca="1" ref="H441" ca="1">SUMIFS(CA!$C442:$AQ442,CA!$C$7:$AQ$7,H$6,CA!$C$8:$AQ$8,TRUE)</f>
        <v>0</v>
      </c>
      <c r="I441" s="23" cm="1">
        <f t="array" aca="1" ref="I441" ca="1">SUMIFS(Quantity!$C442:$AH442,Quantity!$C$7:$AH$7,J$6,Quantity!$C$8:$AH$8,TRUE)</f>
        <v>0</v>
      </c>
      <c r="J441" s="25" cm="1">
        <f t="array" aca="1" ref="J441" ca="1">SUMIFS(CA!$C442:$AQ442,CA!$C$7:$AQ$7,J$6,CA!$C$8:$AQ$8,TRUE)</f>
        <v>0</v>
      </c>
      <c r="K441" s="26" t="str" cm="1">
        <f t="array" ref="K441">IF(SUM(Quantity!O442:Z442)=0,"",SUM(Quantity!O442:Z442))</f>
        <v/>
      </c>
      <c r="L441" s="24" t="str" cm="1">
        <f t="array" ref="L441">IF(SUM(CA!O442:Z442)=0,"",SUM(CA!O442:Z442))</f>
        <v/>
      </c>
      <c r="M441" s="23" t="str" cm="1">
        <f t="array" ref="M441">IF(SUM(Quantity!C442:N442)=0,"",SUM(Quantity!C442:N442))</f>
        <v/>
      </c>
      <c r="N441" s="25" t="str" cm="1">
        <f t="array" ref="N441">IF(SUM(CA!C442:N442)=0,"",SUM(CA!C442:N442))</f>
        <v/>
      </c>
    </row>
    <row r="442" spans="1:14" x14ac:dyDescent="0.25">
      <c r="A442" s="1"/>
      <c r="B442" s="22" cm="1">
        <f t="array" ref="B442">Quantity!B443</f>
        <v>0</v>
      </c>
      <c r="C442" s="23" cm="1">
        <f t="array" ref="C442">Quantity!O443</f>
        <v>0</v>
      </c>
      <c r="D442" s="24" cm="1">
        <f t="array" ref="D442">CA!O443</f>
        <v>0</v>
      </c>
      <c r="E442" s="23" cm="1">
        <f t="array" ref="E442">Quantity!C443</f>
        <v>0</v>
      </c>
      <c r="F442" s="25" cm="1">
        <f t="array" ref="F442">CA!C443</f>
        <v>0</v>
      </c>
      <c r="G442" s="26" cm="1">
        <f t="array" aca="1" ref="G442" ca="1">SUMIFS(Quantity!$C443:$AH443,Quantity!$C$7:$AH$7,H$6,Quantity!$C$8:$AH$8,TRUE)</f>
        <v>0</v>
      </c>
      <c r="H442" s="24" cm="1">
        <f t="array" aca="1" ref="H442" ca="1">SUMIFS(CA!$C443:$AQ443,CA!$C$7:$AQ$7,H$6,CA!$C$8:$AQ$8,TRUE)</f>
        <v>0</v>
      </c>
      <c r="I442" s="23" cm="1">
        <f t="array" aca="1" ref="I442" ca="1">SUMIFS(Quantity!$C443:$AH443,Quantity!$C$7:$AH$7,J$6,Quantity!$C$8:$AH$8,TRUE)</f>
        <v>0</v>
      </c>
      <c r="J442" s="25" cm="1">
        <f t="array" aca="1" ref="J442" ca="1">SUMIFS(CA!$C443:$AQ443,CA!$C$7:$AQ$7,J$6,CA!$C$8:$AQ$8,TRUE)</f>
        <v>0</v>
      </c>
      <c r="K442" s="26" t="str" cm="1">
        <f t="array" ref="K442">IF(SUM(Quantity!O443:Z443)=0,"",SUM(Quantity!O443:Z443))</f>
        <v/>
      </c>
      <c r="L442" s="24" t="str" cm="1">
        <f t="array" ref="L442">IF(SUM(CA!O443:Z443)=0,"",SUM(CA!O443:Z443))</f>
        <v/>
      </c>
      <c r="M442" s="23" t="str" cm="1">
        <f t="array" ref="M442">IF(SUM(Quantity!C443:N443)=0,"",SUM(Quantity!C443:N443))</f>
        <v/>
      </c>
      <c r="N442" s="25" t="str" cm="1">
        <f t="array" ref="N442">IF(SUM(CA!C443:N443)=0,"",SUM(CA!C443:N443))</f>
        <v/>
      </c>
    </row>
    <row r="443" spans="1:14" x14ac:dyDescent="0.25">
      <c r="A443" s="1"/>
      <c r="B443" s="22" cm="1">
        <f t="array" ref="B443">Quantity!B444</f>
        <v>0</v>
      </c>
      <c r="C443" s="23" cm="1">
        <f t="array" ref="C443">Quantity!O444</f>
        <v>0</v>
      </c>
      <c r="D443" s="24" cm="1">
        <f t="array" ref="D443">CA!O444</f>
        <v>0</v>
      </c>
      <c r="E443" s="23" cm="1">
        <f t="array" ref="E443">Quantity!C444</f>
        <v>0</v>
      </c>
      <c r="F443" s="25" cm="1">
        <f t="array" ref="F443">CA!C444</f>
        <v>0</v>
      </c>
      <c r="G443" s="26" cm="1">
        <f t="array" aca="1" ref="G443" ca="1">SUMIFS(Quantity!$C444:$AH444,Quantity!$C$7:$AH$7,H$6,Quantity!$C$8:$AH$8,TRUE)</f>
        <v>0</v>
      </c>
      <c r="H443" s="24" cm="1">
        <f t="array" aca="1" ref="H443" ca="1">SUMIFS(CA!$C444:$AQ444,CA!$C$7:$AQ$7,H$6,CA!$C$8:$AQ$8,TRUE)</f>
        <v>0</v>
      </c>
      <c r="I443" s="23" cm="1">
        <f t="array" aca="1" ref="I443" ca="1">SUMIFS(Quantity!$C444:$AH444,Quantity!$C$7:$AH$7,J$6,Quantity!$C$8:$AH$8,TRUE)</f>
        <v>0</v>
      </c>
      <c r="J443" s="25" cm="1">
        <f t="array" aca="1" ref="J443" ca="1">SUMIFS(CA!$C444:$AQ444,CA!$C$7:$AQ$7,J$6,CA!$C$8:$AQ$8,TRUE)</f>
        <v>0</v>
      </c>
      <c r="K443" s="26" t="str" cm="1">
        <f t="array" ref="K443">IF(SUM(Quantity!O444:Z444)=0,"",SUM(Quantity!O444:Z444))</f>
        <v/>
      </c>
      <c r="L443" s="24" t="str" cm="1">
        <f t="array" ref="L443">IF(SUM(CA!O444:Z444)=0,"",SUM(CA!O444:Z444))</f>
        <v/>
      </c>
      <c r="M443" s="23" t="str" cm="1">
        <f t="array" ref="M443">IF(SUM(Quantity!C444:N444)=0,"",SUM(Quantity!C444:N444))</f>
        <v/>
      </c>
      <c r="N443" s="25" t="str" cm="1">
        <f t="array" ref="N443">IF(SUM(CA!C444:N444)=0,"",SUM(CA!C444:N444))</f>
        <v/>
      </c>
    </row>
    <row r="444" spans="1:14" x14ac:dyDescent="0.25">
      <c r="A444" s="1"/>
      <c r="B444" s="22" cm="1">
        <f t="array" ref="B444">Quantity!B445</f>
        <v>0</v>
      </c>
      <c r="C444" s="23" cm="1">
        <f t="array" ref="C444">Quantity!O445</f>
        <v>0</v>
      </c>
      <c r="D444" s="24" cm="1">
        <f t="array" ref="D444">CA!O445</f>
        <v>0</v>
      </c>
      <c r="E444" s="23" cm="1">
        <f t="array" ref="E444">Quantity!C445</f>
        <v>0</v>
      </c>
      <c r="F444" s="25" cm="1">
        <f t="array" ref="F444">CA!C445</f>
        <v>0</v>
      </c>
      <c r="G444" s="26" cm="1">
        <f t="array" aca="1" ref="G444" ca="1">SUMIFS(Quantity!$C445:$AH445,Quantity!$C$7:$AH$7,H$6,Quantity!$C$8:$AH$8,TRUE)</f>
        <v>0</v>
      </c>
      <c r="H444" s="24" cm="1">
        <f t="array" aca="1" ref="H444" ca="1">SUMIFS(CA!$C445:$AQ445,CA!$C$7:$AQ$7,H$6,CA!$C$8:$AQ$8,TRUE)</f>
        <v>0</v>
      </c>
      <c r="I444" s="23" cm="1">
        <f t="array" aca="1" ref="I444" ca="1">SUMIFS(Quantity!$C445:$AH445,Quantity!$C$7:$AH$7,J$6,Quantity!$C$8:$AH$8,TRUE)</f>
        <v>0</v>
      </c>
      <c r="J444" s="25" cm="1">
        <f t="array" aca="1" ref="J444" ca="1">SUMIFS(CA!$C445:$AQ445,CA!$C$7:$AQ$7,J$6,CA!$C$8:$AQ$8,TRUE)</f>
        <v>0</v>
      </c>
      <c r="K444" s="26" t="str" cm="1">
        <f t="array" ref="K444">IF(SUM(Quantity!O445:Z445)=0,"",SUM(Quantity!O445:Z445))</f>
        <v/>
      </c>
      <c r="L444" s="24" t="str" cm="1">
        <f t="array" ref="L444">IF(SUM(CA!O445:Z445)=0,"",SUM(CA!O445:Z445))</f>
        <v/>
      </c>
      <c r="M444" s="23" t="str" cm="1">
        <f t="array" ref="M444">IF(SUM(Quantity!C445:N445)=0,"",SUM(Quantity!C445:N445))</f>
        <v/>
      </c>
      <c r="N444" s="25" t="str" cm="1">
        <f t="array" ref="N444">IF(SUM(CA!C445:N445)=0,"",SUM(CA!C445:N445))</f>
        <v/>
      </c>
    </row>
    <row r="445" spans="1:14" x14ac:dyDescent="0.25">
      <c r="A445" s="1"/>
      <c r="B445" s="22" cm="1">
        <f t="array" ref="B445">Quantity!B446</f>
        <v>0</v>
      </c>
      <c r="C445" s="23" cm="1">
        <f t="array" ref="C445">Quantity!O446</f>
        <v>0</v>
      </c>
      <c r="D445" s="24" cm="1">
        <f t="array" ref="D445">CA!O446</f>
        <v>0</v>
      </c>
      <c r="E445" s="23" cm="1">
        <f t="array" ref="E445">Quantity!C446</f>
        <v>0</v>
      </c>
      <c r="F445" s="25" cm="1">
        <f t="array" ref="F445">CA!C446</f>
        <v>0</v>
      </c>
      <c r="G445" s="26" cm="1">
        <f t="array" aca="1" ref="G445" ca="1">SUMIFS(Quantity!$C446:$AH446,Quantity!$C$7:$AH$7,H$6,Quantity!$C$8:$AH$8,TRUE)</f>
        <v>0</v>
      </c>
      <c r="H445" s="24" cm="1">
        <f t="array" aca="1" ref="H445" ca="1">SUMIFS(CA!$C446:$AQ446,CA!$C$7:$AQ$7,H$6,CA!$C$8:$AQ$8,TRUE)</f>
        <v>0</v>
      </c>
      <c r="I445" s="23" cm="1">
        <f t="array" aca="1" ref="I445" ca="1">SUMIFS(Quantity!$C446:$AH446,Quantity!$C$7:$AH$7,J$6,Quantity!$C$8:$AH$8,TRUE)</f>
        <v>0</v>
      </c>
      <c r="J445" s="25" cm="1">
        <f t="array" aca="1" ref="J445" ca="1">SUMIFS(CA!$C446:$AQ446,CA!$C$7:$AQ$7,J$6,CA!$C$8:$AQ$8,TRUE)</f>
        <v>0</v>
      </c>
      <c r="K445" s="26" t="str" cm="1">
        <f t="array" ref="K445">IF(SUM(Quantity!O446:Z446)=0,"",SUM(Quantity!O446:Z446))</f>
        <v/>
      </c>
      <c r="L445" s="24" t="str" cm="1">
        <f t="array" ref="L445">IF(SUM(CA!O446:Z446)=0,"",SUM(CA!O446:Z446))</f>
        <v/>
      </c>
      <c r="M445" s="23" t="str" cm="1">
        <f t="array" ref="M445">IF(SUM(Quantity!C446:N446)=0,"",SUM(Quantity!C446:N446))</f>
        <v/>
      </c>
      <c r="N445" s="25" t="str" cm="1">
        <f t="array" ref="N445">IF(SUM(CA!C446:N446)=0,"",SUM(CA!C446:N446))</f>
        <v/>
      </c>
    </row>
    <row r="446" spans="1:14" x14ac:dyDescent="0.25">
      <c r="A446" s="1"/>
      <c r="B446" s="22" cm="1">
        <f t="array" ref="B446">Quantity!B447</f>
        <v>0</v>
      </c>
      <c r="C446" s="23" cm="1">
        <f t="array" ref="C446">Quantity!O447</f>
        <v>0</v>
      </c>
      <c r="D446" s="24" cm="1">
        <f t="array" ref="D446">CA!O447</f>
        <v>0</v>
      </c>
      <c r="E446" s="23" cm="1">
        <f t="array" ref="E446">Quantity!C447</f>
        <v>0</v>
      </c>
      <c r="F446" s="25" cm="1">
        <f t="array" ref="F446">CA!C447</f>
        <v>0</v>
      </c>
      <c r="G446" s="26" cm="1">
        <f t="array" aca="1" ref="G446" ca="1">SUMIFS(Quantity!$C447:$AH447,Quantity!$C$7:$AH$7,H$6,Quantity!$C$8:$AH$8,TRUE)</f>
        <v>0</v>
      </c>
      <c r="H446" s="24" cm="1">
        <f t="array" aca="1" ref="H446" ca="1">SUMIFS(CA!$C447:$AQ447,CA!$C$7:$AQ$7,H$6,CA!$C$8:$AQ$8,TRUE)</f>
        <v>0</v>
      </c>
      <c r="I446" s="23" cm="1">
        <f t="array" aca="1" ref="I446" ca="1">SUMIFS(Quantity!$C447:$AH447,Quantity!$C$7:$AH$7,J$6,Quantity!$C$8:$AH$8,TRUE)</f>
        <v>0</v>
      </c>
      <c r="J446" s="25" cm="1">
        <f t="array" aca="1" ref="J446" ca="1">SUMIFS(CA!$C447:$AQ447,CA!$C$7:$AQ$7,J$6,CA!$C$8:$AQ$8,TRUE)</f>
        <v>0</v>
      </c>
      <c r="K446" s="26" t="str" cm="1">
        <f t="array" ref="K446">IF(SUM(Quantity!O447:Z447)=0,"",SUM(Quantity!O447:Z447))</f>
        <v/>
      </c>
      <c r="L446" s="24" t="str" cm="1">
        <f t="array" ref="L446">IF(SUM(CA!O447:Z447)=0,"",SUM(CA!O447:Z447))</f>
        <v/>
      </c>
      <c r="M446" s="23" t="str" cm="1">
        <f t="array" ref="M446">IF(SUM(Quantity!C447:N447)=0,"",SUM(Quantity!C447:N447))</f>
        <v/>
      </c>
      <c r="N446" s="25" t="str" cm="1">
        <f t="array" ref="N446">IF(SUM(CA!C447:N447)=0,"",SUM(CA!C447:N447))</f>
        <v/>
      </c>
    </row>
    <row r="447" spans="1:14" x14ac:dyDescent="0.25">
      <c r="A447" s="1"/>
      <c r="B447" s="22" cm="1">
        <f t="array" ref="B447">Quantity!B448</f>
        <v>0</v>
      </c>
      <c r="C447" s="23" cm="1">
        <f t="array" ref="C447">Quantity!O448</f>
        <v>0</v>
      </c>
      <c r="D447" s="24" cm="1">
        <f t="array" ref="D447">CA!O448</f>
        <v>0</v>
      </c>
      <c r="E447" s="23" cm="1">
        <f t="array" ref="E447">Quantity!C448</f>
        <v>0</v>
      </c>
      <c r="F447" s="25" cm="1">
        <f t="array" ref="F447">CA!C448</f>
        <v>0</v>
      </c>
      <c r="G447" s="26" cm="1">
        <f t="array" aca="1" ref="G447" ca="1">SUMIFS(Quantity!$C448:$AH448,Quantity!$C$7:$AH$7,H$6,Quantity!$C$8:$AH$8,TRUE)</f>
        <v>0</v>
      </c>
      <c r="H447" s="24" cm="1">
        <f t="array" aca="1" ref="H447" ca="1">SUMIFS(CA!$C448:$AQ448,CA!$C$7:$AQ$7,H$6,CA!$C$8:$AQ$8,TRUE)</f>
        <v>0</v>
      </c>
      <c r="I447" s="23" cm="1">
        <f t="array" aca="1" ref="I447" ca="1">SUMIFS(Quantity!$C448:$AH448,Quantity!$C$7:$AH$7,J$6,Quantity!$C$8:$AH$8,TRUE)</f>
        <v>0</v>
      </c>
      <c r="J447" s="25" cm="1">
        <f t="array" aca="1" ref="J447" ca="1">SUMIFS(CA!$C448:$AQ448,CA!$C$7:$AQ$7,J$6,CA!$C$8:$AQ$8,TRUE)</f>
        <v>0</v>
      </c>
      <c r="K447" s="26" t="str" cm="1">
        <f t="array" ref="K447">IF(SUM(Quantity!O448:Z448)=0,"",SUM(Quantity!O448:Z448))</f>
        <v/>
      </c>
      <c r="L447" s="24" t="str" cm="1">
        <f t="array" ref="L447">IF(SUM(CA!O448:Z448)=0,"",SUM(CA!O448:Z448))</f>
        <v/>
      </c>
      <c r="M447" s="23" t="str" cm="1">
        <f t="array" ref="M447">IF(SUM(Quantity!C448:N448)=0,"",SUM(Quantity!C448:N448))</f>
        <v/>
      </c>
      <c r="N447" s="25" t="str" cm="1">
        <f t="array" ref="N447">IF(SUM(CA!C448:N448)=0,"",SUM(CA!C448:N448))</f>
        <v/>
      </c>
    </row>
    <row r="448" spans="1:14" x14ac:dyDescent="0.25">
      <c r="A448" s="1"/>
      <c r="B448" s="22" cm="1">
        <f t="array" ref="B448">Quantity!B449</f>
        <v>0</v>
      </c>
      <c r="C448" s="23" cm="1">
        <f t="array" ref="C448">Quantity!O449</f>
        <v>0</v>
      </c>
      <c r="D448" s="24" cm="1">
        <f t="array" ref="D448">CA!O449</f>
        <v>0</v>
      </c>
      <c r="E448" s="23" cm="1">
        <f t="array" ref="E448">Quantity!C449</f>
        <v>0</v>
      </c>
      <c r="F448" s="25" cm="1">
        <f t="array" ref="F448">CA!C449</f>
        <v>0</v>
      </c>
      <c r="G448" s="26" cm="1">
        <f t="array" aca="1" ref="G448" ca="1">SUMIFS(Quantity!$C449:$AH449,Quantity!$C$7:$AH$7,H$6,Quantity!$C$8:$AH$8,TRUE)</f>
        <v>0</v>
      </c>
      <c r="H448" s="24" cm="1">
        <f t="array" aca="1" ref="H448" ca="1">SUMIFS(CA!$C449:$AQ449,CA!$C$7:$AQ$7,H$6,CA!$C$8:$AQ$8,TRUE)</f>
        <v>0</v>
      </c>
      <c r="I448" s="23" cm="1">
        <f t="array" aca="1" ref="I448" ca="1">SUMIFS(Quantity!$C449:$AH449,Quantity!$C$7:$AH$7,J$6,Quantity!$C$8:$AH$8,TRUE)</f>
        <v>0</v>
      </c>
      <c r="J448" s="25" cm="1">
        <f t="array" aca="1" ref="J448" ca="1">SUMIFS(CA!$C449:$AQ449,CA!$C$7:$AQ$7,J$6,CA!$C$8:$AQ$8,TRUE)</f>
        <v>0</v>
      </c>
      <c r="K448" s="26" t="str" cm="1">
        <f t="array" ref="K448">IF(SUM(Quantity!O449:Z449)=0,"",SUM(Quantity!O449:Z449))</f>
        <v/>
      </c>
      <c r="L448" s="24" t="str" cm="1">
        <f t="array" ref="L448">IF(SUM(CA!O449:Z449)=0,"",SUM(CA!O449:Z449))</f>
        <v/>
      </c>
      <c r="M448" s="23" t="str" cm="1">
        <f t="array" ref="M448">IF(SUM(Quantity!C449:N449)=0,"",SUM(Quantity!C449:N449))</f>
        <v/>
      </c>
      <c r="N448" s="25" t="str" cm="1">
        <f t="array" ref="N448">IF(SUM(CA!C449:N449)=0,"",SUM(CA!C449:N449))</f>
        <v/>
      </c>
    </row>
    <row r="449" spans="1:14" x14ac:dyDescent="0.25">
      <c r="A449" s="1"/>
      <c r="B449" s="22" cm="1">
        <f t="array" ref="B449">Quantity!B450</f>
        <v>0</v>
      </c>
      <c r="C449" s="23" cm="1">
        <f t="array" ref="C449">Quantity!O450</f>
        <v>0</v>
      </c>
      <c r="D449" s="24" cm="1">
        <f t="array" ref="D449">CA!O450</f>
        <v>0</v>
      </c>
      <c r="E449" s="23" cm="1">
        <f t="array" ref="E449">Quantity!C450</f>
        <v>0</v>
      </c>
      <c r="F449" s="25" cm="1">
        <f t="array" ref="F449">CA!C450</f>
        <v>0</v>
      </c>
      <c r="G449" s="26" cm="1">
        <f t="array" aca="1" ref="G449" ca="1">SUMIFS(Quantity!$C450:$AH450,Quantity!$C$7:$AH$7,H$6,Quantity!$C$8:$AH$8,TRUE)</f>
        <v>0</v>
      </c>
      <c r="H449" s="24" cm="1">
        <f t="array" aca="1" ref="H449" ca="1">SUMIFS(CA!$C450:$AQ450,CA!$C$7:$AQ$7,H$6,CA!$C$8:$AQ$8,TRUE)</f>
        <v>0</v>
      </c>
      <c r="I449" s="23" cm="1">
        <f t="array" aca="1" ref="I449" ca="1">SUMIFS(Quantity!$C450:$AH450,Quantity!$C$7:$AH$7,J$6,Quantity!$C$8:$AH$8,TRUE)</f>
        <v>0</v>
      </c>
      <c r="J449" s="25" cm="1">
        <f t="array" aca="1" ref="J449" ca="1">SUMIFS(CA!$C450:$AQ450,CA!$C$7:$AQ$7,J$6,CA!$C$8:$AQ$8,TRUE)</f>
        <v>0</v>
      </c>
      <c r="K449" s="26" t="str" cm="1">
        <f t="array" ref="K449">IF(SUM(Quantity!O450:Z450)=0,"",SUM(Quantity!O450:Z450))</f>
        <v/>
      </c>
      <c r="L449" s="24" t="str" cm="1">
        <f t="array" ref="L449">IF(SUM(CA!O450:Z450)=0,"",SUM(CA!O450:Z450))</f>
        <v/>
      </c>
      <c r="M449" s="23" t="str" cm="1">
        <f t="array" ref="M449">IF(SUM(Quantity!C450:N450)=0,"",SUM(Quantity!C450:N450))</f>
        <v/>
      </c>
      <c r="N449" s="25" t="str" cm="1">
        <f t="array" ref="N449">IF(SUM(CA!C450:N450)=0,"",SUM(CA!C450:N450))</f>
        <v/>
      </c>
    </row>
    <row r="450" spans="1:14" x14ac:dyDescent="0.25">
      <c r="A450" s="1"/>
      <c r="B450" s="22" cm="1">
        <f t="array" ref="B450">Quantity!B451</f>
        <v>0</v>
      </c>
      <c r="C450" s="23" cm="1">
        <f t="array" ref="C450">Quantity!O451</f>
        <v>0</v>
      </c>
      <c r="D450" s="24" cm="1">
        <f t="array" ref="D450">CA!O451</f>
        <v>0</v>
      </c>
      <c r="E450" s="23" cm="1">
        <f t="array" ref="E450">Quantity!C451</f>
        <v>0</v>
      </c>
      <c r="F450" s="25" cm="1">
        <f t="array" ref="F450">CA!C451</f>
        <v>0</v>
      </c>
      <c r="G450" s="26" cm="1">
        <f t="array" aca="1" ref="G450" ca="1">SUMIFS(Quantity!$C451:$AH451,Quantity!$C$7:$AH$7,H$6,Quantity!$C$8:$AH$8,TRUE)</f>
        <v>0</v>
      </c>
      <c r="H450" s="24" cm="1">
        <f t="array" aca="1" ref="H450" ca="1">SUMIFS(CA!$C451:$AQ451,CA!$C$7:$AQ$7,H$6,CA!$C$8:$AQ$8,TRUE)</f>
        <v>0</v>
      </c>
      <c r="I450" s="23" cm="1">
        <f t="array" aca="1" ref="I450" ca="1">SUMIFS(Quantity!$C451:$AH451,Quantity!$C$7:$AH$7,J$6,Quantity!$C$8:$AH$8,TRUE)</f>
        <v>0</v>
      </c>
      <c r="J450" s="25" cm="1">
        <f t="array" aca="1" ref="J450" ca="1">SUMIFS(CA!$C451:$AQ451,CA!$C$7:$AQ$7,J$6,CA!$C$8:$AQ$8,TRUE)</f>
        <v>0</v>
      </c>
      <c r="K450" s="26" t="str" cm="1">
        <f t="array" ref="K450">IF(SUM(Quantity!O451:Z451)=0,"",SUM(Quantity!O451:Z451))</f>
        <v/>
      </c>
      <c r="L450" s="24" t="str" cm="1">
        <f t="array" ref="L450">IF(SUM(CA!O451:Z451)=0,"",SUM(CA!O451:Z451))</f>
        <v/>
      </c>
      <c r="M450" s="23" t="str" cm="1">
        <f t="array" ref="M450">IF(SUM(Quantity!C451:N451)=0,"",SUM(Quantity!C451:N451))</f>
        <v/>
      </c>
      <c r="N450" s="25" t="str" cm="1">
        <f t="array" ref="N450">IF(SUM(CA!C451:N451)=0,"",SUM(CA!C451:N451))</f>
        <v/>
      </c>
    </row>
    <row r="451" spans="1:14" x14ac:dyDescent="0.25">
      <c r="A451" s="1"/>
      <c r="B451" s="22" cm="1">
        <f t="array" ref="B451">Quantity!B452</f>
        <v>0</v>
      </c>
      <c r="C451" s="23" cm="1">
        <f t="array" ref="C451">Quantity!O452</f>
        <v>0</v>
      </c>
      <c r="D451" s="24" cm="1">
        <f t="array" ref="D451">CA!O452</f>
        <v>0</v>
      </c>
      <c r="E451" s="23" cm="1">
        <f t="array" ref="E451">Quantity!C452</f>
        <v>0</v>
      </c>
      <c r="F451" s="25" cm="1">
        <f t="array" ref="F451">CA!C452</f>
        <v>0</v>
      </c>
      <c r="G451" s="26" cm="1">
        <f t="array" aca="1" ref="G451" ca="1">SUMIFS(Quantity!$C452:$AH452,Quantity!$C$7:$AH$7,H$6,Quantity!$C$8:$AH$8,TRUE)</f>
        <v>0</v>
      </c>
      <c r="H451" s="24" cm="1">
        <f t="array" aca="1" ref="H451" ca="1">SUMIFS(CA!$C452:$AQ452,CA!$C$7:$AQ$7,H$6,CA!$C$8:$AQ$8,TRUE)</f>
        <v>0</v>
      </c>
      <c r="I451" s="23" cm="1">
        <f t="array" aca="1" ref="I451" ca="1">SUMIFS(Quantity!$C452:$AH452,Quantity!$C$7:$AH$7,J$6,Quantity!$C$8:$AH$8,TRUE)</f>
        <v>0</v>
      </c>
      <c r="J451" s="25" cm="1">
        <f t="array" aca="1" ref="J451" ca="1">SUMIFS(CA!$C452:$AQ452,CA!$C$7:$AQ$7,J$6,CA!$C$8:$AQ$8,TRUE)</f>
        <v>0</v>
      </c>
      <c r="K451" s="26" t="str" cm="1">
        <f t="array" ref="K451">IF(SUM(Quantity!O452:Z452)=0,"",SUM(Quantity!O452:Z452))</f>
        <v/>
      </c>
      <c r="L451" s="24" t="str" cm="1">
        <f t="array" ref="L451">IF(SUM(CA!O452:Z452)=0,"",SUM(CA!O452:Z452))</f>
        <v/>
      </c>
      <c r="M451" s="23" t="str" cm="1">
        <f t="array" ref="M451">IF(SUM(Quantity!C452:N452)=0,"",SUM(Quantity!C452:N452))</f>
        <v/>
      </c>
      <c r="N451" s="25" t="str" cm="1">
        <f t="array" ref="N451">IF(SUM(CA!C452:N452)=0,"",SUM(CA!C452:N452))</f>
        <v/>
      </c>
    </row>
    <row r="452" spans="1:14" x14ac:dyDescent="0.25">
      <c r="A452" s="1"/>
      <c r="B452" s="22" cm="1">
        <f t="array" ref="B452">Quantity!B453</f>
        <v>0</v>
      </c>
      <c r="C452" s="23" cm="1">
        <f t="array" ref="C452">Quantity!O453</f>
        <v>0</v>
      </c>
      <c r="D452" s="24" cm="1">
        <f t="array" ref="D452">CA!O453</f>
        <v>0</v>
      </c>
      <c r="E452" s="23" cm="1">
        <f t="array" ref="E452">Quantity!C453</f>
        <v>0</v>
      </c>
      <c r="F452" s="25" cm="1">
        <f t="array" ref="F452">CA!C453</f>
        <v>0</v>
      </c>
      <c r="G452" s="26" cm="1">
        <f t="array" aca="1" ref="G452" ca="1">SUMIFS(Quantity!$C453:$AH453,Quantity!$C$7:$AH$7,H$6,Quantity!$C$8:$AH$8,TRUE)</f>
        <v>0</v>
      </c>
      <c r="H452" s="24" cm="1">
        <f t="array" aca="1" ref="H452" ca="1">SUMIFS(CA!$C453:$AQ453,CA!$C$7:$AQ$7,H$6,CA!$C$8:$AQ$8,TRUE)</f>
        <v>0</v>
      </c>
      <c r="I452" s="23" cm="1">
        <f t="array" aca="1" ref="I452" ca="1">SUMIFS(Quantity!$C453:$AH453,Quantity!$C$7:$AH$7,J$6,Quantity!$C$8:$AH$8,TRUE)</f>
        <v>0</v>
      </c>
      <c r="J452" s="25" cm="1">
        <f t="array" aca="1" ref="J452" ca="1">SUMIFS(CA!$C453:$AQ453,CA!$C$7:$AQ$7,J$6,CA!$C$8:$AQ$8,TRUE)</f>
        <v>0</v>
      </c>
      <c r="K452" s="26" t="str" cm="1">
        <f t="array" ref="K452">IF(SUM(Quantity!O453:Z453)=0,"",SUM(Quantity!O453:Z453))</f>
        <v/>
      </c>
      <c r="L452" s="24" t="str" cm="1">
        <f t="array" ref="L452">IF(SUM(CA!O453:Z453)=0,"",SUM(CA!O453:Z453))</f>
        <v/>
      </c>
      <c r="M452" s="23" t="str" cm="1">
        <f t="array" ref="M452">IF(SUM(Quantity!C453:N453)=0,"",SUM(Quantity!C453:N453))</f>
        <v/>
      </c>
      <c r="N452" s="25" t="str" cm="1">
        <f t="array" ref="N452">IF(SUM(CA!C453:N453)=0,"",SUM(CA!C453:N453))</f>
        <v/>
      </c>
    </row>
    <row r="453" spans="1:14" x14ac:dyDescent="0.25">
      <c r="A453" s="1"/>
      <c r="B453" s="22" cm="1">
        <f t="array" ref="B453">Quantity!B454</f>
        <v>0</v>
      </c>
      <c r="C453" s="23" cm="1">
        <f t="array" ref="C453">Quantity!O454</f>
        <v>0</v>
      </c>
      <c r="D453" s="24" cm="1">
        <f t="array" ref="D453">CA!O454</f>
        <v>0</v>
      </c>
      <c r="E453" s="23" cm="1">
        <f t="array" ref="E453">Quantity!C454</f>
        <v>0</v>
      </c>
      <c r="F453" s="25" cm="1">
        <f t="array" ref="F453">CA!C454</f>
        <v>0</v>
      </c>
      <c r="G453" s="26" cm="1">
        <f t="array" aca="1" ref="G453" ca="1">SUMIFS(Quantity!$C454:$AH454,Quantity!$C$7:$AH$7,H$6,Quantity!$C$8:$AH$8,TRUE)</f>
        <v>0</v>
      </c>
      <c r="H453" s="24" cm="1">
        <f t="array" aca="1" ref="H453" ca="1">SUMIFS(CA!$C454:$AQ454,CA!$C$7:$AQ$7,H$6,CA!$C$8:$AQ$8,TRUE)</f>
        <v>0</v>
      </c>
      <c r="I453" s="23" cm="1">
        <f t="array" aca="1" ref="I453" ca="1">SUMIFS(Quantity!$C454:$AH454,Quantity!$C$7:$AH$7,J$6,Quantity!$C$8:$AH$8,TRUE)</f>
        <v>0</v>
      </c>
      <c r="J453" s="25" cm="1">
        <f t="array" aca="1" ref="J453" ca="1">SUMIFS(CA!$C454:$AQ454,CA!$C$7:$AQ$7,J$6,CA!$C$8:$AQ$8,TRUE)</f>
        <v>0</v>
      </c>
      <c r="K453" s="26" t="str" cm="1">
        <f t="array" ref="K453">IF(SUM(Quantity!O454:Z454)=0,"",SUM(Quantity!O454:Z454))</f>
        <v/>
      </c>
      <c r="L453" s="24" t="str" cm="1">
        <f t="array" ref="L453">IF(SUM(CA!O454:Z454)=0,"",SUM(CA!O454:Z454))</f>
        <v/>
      </c>
      <c r="M453" s="23" t="str" cm="1">
        <f t="array" ref="M453">IF(SUM(Quantity!C454:N454)=0,"",SUM(Quantity!C454:N454))</f>
        <v/>
      </c>
      <c r="N453" s="25" t="str" cm="1">
        <f t="array" ref="N453">IF(SUM(CA!C454:N454)=0,"",SUM(CA!C454:N454))</f>
        <v/>
      </c>
    </row>
    <row r="454" spans="1:14" x14ac:dyDescent="0.25">
      <c r="A454" s="1"/>
      <c r="B454" s="22" cm="1">
        <f t="array" ref="B454">Quantity!B455</f>
        <v>0</v>
      </c>
      <c r="C454" s="23" cm="1">
        <f t="array" ref="C454">Quantity!O455</f>
        <v>0</v>
      </c>
      <c r="D454" s="24" cm="1">
        <f t="array" ref="D454">CA!O455</f>
        <v>0</v>
      </c>
      <c r="E454" s="23" cm="1">
        <f t="array" ref="E454">Quantity!C455</f>
        <v>0</v>
      </c>
      <c r="F454" s="25" cm="1">
        <f t="array" ref="F454">CA!C455</f>
        <v>0</v>
      </c>
      <c r="G454" s="26" cm="1">
        <f t="array" aca="1" ref="G454" ca="1">SUMIFS(Quantity!$C455:$AH455,Quantity!$C$7:$AH$7,H$6,Quantity!$C$8:$AH$8,TRUE)</f>
        <v>0</v>
      </c>
      <c r="H454" s="24" cm="1">
        <f t="array" aca="1" ref="H454" ca="1">SUMIFS(CA!$C455:$AQ455,CA!$C$7:$AQ$7,H$6,CA!$C$8:$AQ$8,TRUE)</f>
        <v>0</v>
      </c>
      <c r="I454" s="23" cm="1">
        <f t="array" aca="1" ref="I454" ca="1">SUMIFS(Quantity!$C455:$AH455,Quantity!$C$7:$AH$7,J$6,Quantity!$C$8:$AH$8,TRUE)</f>
        <v>0</v>
      </c>
      <c r="J454" s="25" cm="1">
        <f t="array" aca="1" ref="J454" ca="1">SUMIFS(CA!$C455:$AQ455,CA!$C$7:$AQ$7,J$6,CA!$C$8:$AQ$8,TRUE)</f>
        <v>0</v>
      </c>
      <c r="K454" s="26" t="str" cm="1">
        <f t="array" ref="K454">IF(SUM(Quantity!O455:Z455)=0,"",SUM(Quantity!O455:Z455))</f>
        <v/>
      </c>
      <c r="L454" s="24" t="str" cm="1">
        <f t="array" ref="L454">IF(SUM(CA!O455:Z455)=0,"",SUM(CA!O455:Z455))</f>
        <v/>
      </c>
      <c r="M454" s="23" t="str" cm="1">
        <f t="array" ref="M454">IF(SUM(Quantity!C455:N455)=0,"",SUM(Quantity!C455:N455))</f>
        <v/>
      </c>
      <c r="N454" s="25" t="str" cm="1">
        <f t="array" ref="N454">IF(SUM(CA!C455:N455)=0,"",SUM(CA!C455:N455))</f>
        <v/>
      </c>
    </row>
    <row r="455" spans="1:14" x14ac:dyDescent="0.25">
      <c r="A455" s="1"/>
      <c r="B455" s="22" cm="1">
        <f t="array" ref="B455">Quantity!B456</f>
        <v>0</v>
      </c>
      <c r="C455" s="23" cm="1">
        <f t="array" ref="C455">Quantity!O456</f>
        <v>0</v>
      </c>
      <c r="D455" s="24" cm="1">
        <f t="array" ref="D455">CA!O456</f>
        <v>0</v>
      </c>
      <c r="E455" s="23" cm="1">
        <f t="array" ref="E455">Quantity!C456</f>
        <v>0</v>
      </c>
      <c r="F455" s="25" cm="1">
        <f t="array" ref="F455">CA!C456</f>
        <v>0</v>
      </c>
      <c r="G455" s="26" cm="1">
        <f t="array" aca="1" ref="G455" ca="1">SUMIFS(Quantity!$C456:$AH456,Quantity!$C$7:$AH$7,H$6,Quantity!$C$8:$AH$8,TRUE)</f>
        <v>0</v>
      </c>
      <c r="H455" s="24" cm="1">
        <f t="array" aca="1" ref="H455" ca="1">SUMIFS(CA!$C456:$AQ456,CA!$C$7:$AQ$7,H$6,CA!$C$8:$AQ$8,TRUE)</f>
        <v>0</v>
      </c>
      <c r="I455" s="23" cm="1">
        <f t="array" aca="1" ref="I455" ca="1">SUMIFS(Quantity!$C456:$AH456,Quantity!$C$7:$AH$7,J$6,Quantity!$C$8:$AH$8,TRUE)</f>
        <v>0</v>
      </c>
      <c r="J455" s="25" cm="1">
        <f t="array" aca="1" ref="J455" ca="1">SUMIFS(CA!$C456:$AQ456,CA!$C$7:$AQ$7,J$6,CA!$C$8:$AQ$8,TRUE)</f>
        <v>0</v>
      </c>
      <c r="K455" s="26" t="str" cm="1">
        <f t="array" ref="K455">IF(SUM(Quantity!O456:Z456)=0,"",SUM(Quantity!O456:Z456))</f>
        <v/>
      </c>
      <c r="L455" s="24" t="str" cm="1">
        <f t="array" ref="L455">IF(SUM(CA!O456:Z456)=0,"",SUM(CA!O456:Z456))</f>
        <v/>
      </c>
      <c r="M455" s="23" t="str" cm="1">
        <f t="array" ref="M455">IF(SUM(Quantity!C456:N456)=0,"",SUM(Quantity!C456:N456))</f>
        <v/>
      </c>
      <c r="N455" s="25" t="str" cm="1">
        <f t="array" ref="N455">IF(SUM(CA!C456:N456)=0,"",SUM(CA!C456:N456))</f>
        <v/>
      </c>
    </row>
    <row r="456" spans="1:14" x14ac:dyDescent="0.25">
      <c r="A456" s="1"/>
      <c r="B456" s="22" cm="1">
        <f t="array" ref="B456">Quantity!B457</f>
        <v>0</v>
      </c>
      <c r="C456" s="23" cm="1">
        <f t="array" ref="C456">Quantity!O457</f>
        <v>0</v>
      </c>
      <c r="D456" s="24" cm="1">
        <f t="array" ref="D456">CA!O457</f>
        <v>0</v>
      </c>
      <c r="E456" s="23" cm="1">
        <f t="array" ref="E456">Quantity!C457</f>
        <v>0</v>
      </c>
      <c r="F456" s="25" cm="1">
        <f t="array" ref="F456">CA!C457</f>
        <v>0</v>
      </c>
      <c r="G456" s="26" cm="1">
        <f t="array" aca="1" ref="G456" ca="1">SUMIFS(Quantity!$C457:$AH457,Quantity!$C$7:$AH$7,H$6,Quantity!$C$8:$AH$8,TRUE)</f>
        <v>0</v>
      </c>
      <c r="H456" s="24" cm="1">
        <f t="array" aca="1" ref="H456" ca="1">SUMIFS(CA!$C457:$AQ457,CA!$C$7:$AQ$7,H$6,CA!$C$8:$AQ$8,TRUE)</f>
        <v>0</v>
      </c>
      <c r="I456" s="23" cm="1">
        <f t="array" aca="1" ref="I456" ca="1">SUMIFS(Quantity!$C457:$AH457,Quantity!$C$7:$AH$7,J$6,Quantity!$C$8:$AH$8,TRUE)</f>
        <v>0</v>
      </c>
      <c r="J456" s="25" cm="1">
        <f t="array" aca="1" ref="J456" ca="1">SUMIFS(CA!$C457:$AQ457,CA!$C$7:$AQ$7,J$6,CA!$C$8:$AQ$8,TRUE)</f>
        <v>0</v>
      </c>
      <c r="K456" s="26" t="str" cm="1">
        <f t="array" ref="K456">IF(SUM(Quantity!O457:Z457)=0,"",SUM(Quantity!O457:Z457))</f>
        <v/>
      </c>
      <c r="L456" s="24" t="str" cm="1">
        <f t="array" ref="L456">IF(SUM(CA!O457:Z457)=0,"",SUM(CA!O457:Z457))</f>
        <v/>
      </c>
      <c r="M456" s="23" t="str" cm="1">
        <f t="array" ref="M456">IF(SUM(Quantity!C457:N457)=0,"",SUM(Quantity!C457:N457))</f>
        <v/>
      </c>
      <c r="N456" s="25" t="str" cm="1">
        <f t="array" ref="N456">IF(SUM(CA!C457:N457)=0,"",SUM(CA!C457:N457))</f>
        <v/>
      </c>
    </row>
    <row r="457" spans="1:14" x14ac:dyDescent="0.25">
      <c r="A457" s="1"/>
      <c r="B457" s="22" cm="1">
        <f t="array" ref="B457">Quantity!B458</f>
        <v>0</v>
      </c>
      <c r="C457" s="23" cm="1">
        <f t="array" ref="C457">Quantity!O458</f>
        <v>0</v>
      </c>
      <c r="D457" s="24" cm="1">
        <f t="array" ref="D457">CA!O458</f>
        <v>0</v>
      </c>
      <c r="E457" s="23" cm="1">
        <f t="array" ref="E457">Quantity!C458</f>
        <v>0</v>
      </c>
      <c r="F457" s="25" cm="1">
        <f t="array" ref="F457">CA!C458</f>
        <v>0</v>
      </c>
      <c r="G457" s="26" cm="1">
        <f t="array" aca="1" ref="G457" ca="1">SUMIFS(Quantity!$C458:$AH458,Quantity!$C$7:$AH$7,H$6,Quantity!$C$8:$AH$8,TRUE)</f>
        <v>0</v>
      </c>
      <c r="H457" s="24" cm="1">
        <f t="array" aca="1" ref="H457" ca="1">SUMIFS(CA!$C458:$AQ458,CA!$C$7:$AQ$7,H$6,CA!$C$8:$AQ$8,TRUE)</f>
        <v>0</v>
      </c>
      <c r="I457" s="23" cm="1">
        <f t="array" aca="1" ref="I457" ca="1">SUMIFS(Quantity!$C458:$AH458,Quantity!$C$7:$AH$7,J$6,Quantity!$C$8:$AH$8,TRUE)</f>
        <v>0</v>
      </c>
      <c r="J457" s="25" cm="1">
        <f t="array" aca="1" ref="J457" ca="1">SUMIFS(CA!$C458:$AQ458,CA!$C$7:$AQ$7,J$6,CA!$C$8:$AQ$8,TRUE)</f>
        <v>0</v>
      </c>
      <c r="K457" s="26" t="str" cm="1">
        <f t="array" ref="K457">IF(SUM(Quantity!O458:Z458)=0,"",SUM(Quantity!O458:Z458))</f>
        <v/>
      </c>
      <c r="L457" s="24" t="str" cm="1">
        <f t="array" ref="L457">IF(SUM(CA!O458:Z458)=0,"",SUM(CA!O458:Z458))</f>
        <v/>
      </c>
      <c r="M457" s="23" t="str" cm="1">
        <f t="array" ref="M457">IF(SUM(Quantity!C458:N458)=0,"",SUM(Quantity!C458:N458))</f>
        <v/>
      </c>
      <c r="N457" s="25" t="str" cm="1">
        <f t="array" ref="N457">IF(SUM(CA!C458:N458)=0,"",SUM(CA!C458:N458))</f>
        <v/>
      </c>
    </row>
    <row r="458" spans="1:14" x14ac:dyDescent="0.25">
      <c r="A458" s="1"/>
      <c r="B458" s="22" cm="1">
        <f t="array" ref="B458">Quantity!B459</f>
        <v>0</v>
      </c>
      <c r="C458" s="23" cm="1">
        <f t="array" ref="C458">Quantity!O459</f>
        <v>0</v>
      </c>
      <c r="D458" s="24" cm="1">
        <f t="array" ref="D458">CA!O459</f>
        <v>0</v>
      </c>
      <c r="E458" s="23" cm="1">
        <f t="array" ref="E458">Quantity!C459</f>
        <v>0</v>
      </c>
      <c r="F458" s="25" cm="1">
        <f t="array" ref="F458">CA!C459</f>
        <v>0</v>
      </c>
      <c r="G458" s="26" cm="1">
        <f t="array" aca="1" ref="G458" ca="1">SUMIFS(Quantity!$C459:$AH459,Quantity!$C$7:$AH$7,H$6,Quantity!$C$8:$AH$8,TRUE)</f>
        <v>0</v>
      </c>
      <c r="H458" s="24" cm="1">
        <f t="array" aca="1" ref="H458" ca="1">SUMIFS(CA!$C459:$AQ459,CA!$C$7:$AQ$7,H$6,CA!$C$8:$AQ$8,TRUE)</f>
        <v>0</v>
      </c>
      <c r="I458" s="23" cm="1">
        <f t="array" aca="1" ref="I458" ca="1">SUMIFS(Quantity!$C459:$AH459,Quantity!$C$7:$AH$7,J$6,Quantity!$C$8:$AH$8,TRUE)</f>
        <v>0</v>
      </c>
      <c r="J458" s="25" cm="1">
        <f t="array" aca="1" ref="J458" ca="1">SUMIFS(CA!$C459:$AQ459,CA!$C$7:$AQ$7,J$6,CA!$C$8:$AQ$8,TRUE)</f>
        <v>0</v>
      </c>
      <c r="K458" s="26" t="str" cm="1">
        <f t="array" ref="K458">IF(SUM(Quantity!O459:Z459)=0,"",SUM(Quantity!O459:Z459))</f>
        <v/>
      </c>
      <c r="L458" s="24" t="str" cm="1">
        <f t="array" ref="L458">IF(SUM(CA!O459:Z459)=0,"",SUM(CA!O459:Z459))</f>
        <v/>
      </c>
      <c r="M458" s="23" t="str" cm="1">
        <f t="array" ref="M458">IF(SUM(Quantity!C459:N459)=0,"",SUM(Quantity!C459:N459))</f>
        <v/>
      </c>
      <c r="N458" s="25" t="str" cm="1">
        <f t="array" ref="N458">IF(SUM(CA!C459:N459)=0,"",SUM(CA!C459:N459))</f>
        <v/>
      </c>
    </row>
    <row r="459" spans="1:14" x14ac:dyDescent="0.25">
      <c r="A459" s="1"/>
      <c r="B459" s="22" cm="1">
        <f t="array" ref="B459">Quantity!B460</f>
        <v>0</v>
      </c>
      <c r="C459" s="23" cm="1">
        <f t="array" ref="C459">Quantity!O460</f>
        <v>0</v>
      </c>
      <c r="D459" s="24" cm="1">
        <f t="array" ref="D459">CA!O460</f>
        <v>0</v>
      </c>
      <c r="E459" s="23" cm="1">
        <f t="array" ref="E459">Quantity!C460</f>
        <v>0</v>
      </c>
      <c r="F459" s="25" cm="1">
        <f t="array" ref="F459">CA!C460</f>
        <v>0</v>
      </c>
      <c r="G459" s="26" cm="1">
        <f t="array" aca="1" ref="G459" ca="1">SUMIFS(Quantity!$C460:$AH460,Quantity!$C$7:$AH$7,H$6,Quantity!$C$8:$AH$8,TRUE)</f>
        <v>0</v>
      </c>
      <c r="H459" s="24" cm="1">
        <f t="array" aca="1" ref="H459" ca="1">SUMIFS(CA!$C460:$AQ460,CA!$C$7:$AQ$7,H$6,CA!$C$8:$AQ$8,TRUE)</f>
        <v>0</v>
      </c>
      <c r="I459" s="23" cm="1">
        <f t="array" aca="1" ref="I459" ca="1">SUMIFS(Quantity!$C460:$AH460,Quantity!$C$7:$AH$7,J$6,Quantity!$C$8:$AH$8,TRUE)</f>
        <v>0</v>
      </c>
      <c r="J459" s="25" cm="1">
        <f t="array" aca="1" ref="J459" ca="1">SUMIFS(CA!$C460:$AQ460,CA!$C$7:$AQ$7,J$6,CA!$C$8:$AQ$8,TRUE)</f>
        <v>0</v>
      </c>
      <c r="K459" s="26" t="str" cm="1">
        <f t="array" ref="K459">IF(SUM(Quantity!O460:Z460)=0,"",SUM(Quantity!O460:Z460))</f>
        <v/>
      </c>
      <c r="L459" s="24" t="str" cm="1">
        <f t="array" ref="L459">IF(SUM(CA!O460:Z460)=0,"",SUM(CA!O460:Z460))</f>
        <v/>
      </c>
      <c r="M459" s="23" t="str" cm="1">
        <f t="array" ref="M459">IF(SUM(Quantity!C460:N460)=0,"",SUM(Quantity!C460:N460))</f>
        <v/>
      </c>
      <c r="N459" s="25" t="str" cm="1">
        <f t="array" ref="N459">IF(SUM(CA!C460:N460)=0,"",SUM(CA!C460:N460))</f>
        <v/>
      </c>
    </row>
    <row r="460" spans="1:14" x14ac:dyDescent="0.25">
      <c r="A460" s="1"/>
      <c r="B460" s="22" cm="1">
        <f t="array" ref="B460">Quantity!B461</f>
        <v>0</v>
      </c>
      <c r="C460" s="23" cm="1">
        <f t="array" ref="C460">Quantity!O461</f>
        <v>0</v>
      </c>
      <c r="D460" s="24" cm="1">
        <f t="array" ref="D460">CA!O461</f>
        <v>0</v>
      </c>
      <c r="E460" s="23" cm="1">
        <f t="array" ref="E460">Quantity!C461</f>
        <v>0</v>
      </c>
      <c r="F460" s="25" cm="1">
        <f t="array" ref="F460">CA!C461</f>
        <v>0</v>
      </c>
      <c r="G460" s="26" cm="1">
        <f t="array" aca="1" ref="G460" ca="1">SUMIFS(Quantity!$C461:$AH461,Quantity!$C$7:$AH$7,H$6,Quantity!$C$8:$AH$8,TRUE)</f>
        <v>0</v>
      </c>
      <c r="H460" s="24" cm="1">
        <f t="array" aca="1" ref="H460" ca="1">SUMIFS(CA!$C461:$AQ461,CA!$C$7:$AQ$7,H$6,CA!$C$8:$AQ$8,TRUE)</f>
        <v>0</v>
      </c>
      <c r="I460" s="23" cm="1">
        <f t="array" aca="1" ref="I460" ca="1">SUMIFS(Quantity!$C461:$AH461,Quantity!$C$7:$AH$7,J$6,Quantity!$C$8:$AH$8,TRUE)</f>
        <v>0</v>
      </c>
      <c r="J460" s="25" cm="1">
        <f t="array" aca="1" ref="J460" ca="1">SUMIFS(CA!$C461:$AQ461,CA!$C$7:$AQ$7,J$6,CA!$C$8:$AQ$8,TRUE)</f>
        <v>0</v>
      </c>
      <c r="K460" s="26" t="str" cm="1">
        <f t="array" ref="K460">IF(SUM(Quantity!O461:Z461)=0,"",SUM(Quantity!O461:Z461))</f>
        <v/>
      </c>
      <c r="L460" s="24" t="str" cm="1">
        <f t="array" ref="L460">IF(SUM(CA!O461:Z461)=0,"",SUM(CA!O461:Z461))</f>
        <v/>
      </c>
      <c r="M460" s="23" t="str" cm="1">
        <f t="array" ref="M460">IF(SUM(Quantity!C461:N461)=0,"",SUM(Quantity!C461:N461))</f>
        <v/>
      </c>
      <c r="N460" s="25" t="str" cm="1">
        <f t="array" ref="N460">IF(SUM(CA!C461:N461)=0,"",SUM(CA!C461:N461))</f>
        <v/>
      </c>
    </row>
    <row r="461" spans="1:14" x14ac:dyDescent="0.25">
      <c r="A461" s="1"/>
      <c r="B461" s="22" cm="1">
        <f t="array" ref="B461">Quantity!B462</f>
        <v>0</v>
      </c>
      <c r="C461" s="23" cm="1">
        <f t="array" ref="C461">Quantity!O462</f>
        <v>0</v>
      </c>
      <c r="D461" s="24" cm="1">
        <f t="array" ref="D461">CA!O462</f>
        <v>0</v>
      </c>
      <c r="E461" s="23" cm="1">
        <f t="array" ref="E461">Quantity!C462</f>
        <v>0</v>
      </c>
      <c r="F461" s="25" cm="1">
        <f t="array" ref="F461">CA!C462</f>
        <v>0</v>
      </c>
      <c r="G461" s="26" cm="1">
        <f t="array" aca="1" ref="G461" ca="1">SUMIFS(Quantity!$C462:$AH462,Quantity!$C$7:$AH$7,H$6,Quantity!$C$8:$AH$8,TRUE)</f>
        <v>0</v>
      </c>
      <c r="H461" s="24" cm="1">
        <f t="array" aca="1" ref="H461" ca="1">SUMIFS(CA!$C462:$AQ462,CA!$C$7:$AQ$7,H$6,CA!$C$8:$AQ$8,TRUE)</f>
        <v>0</v>
      </c>
      <c r="I461" s="23" cm="1">
        <f t="array" aca="1" ref="I461" ca="1">SUMIFS(Quantity!$C462:$AH462,Quantity!$C$7:$AH$7,J$6,Quantity!$C$8:$AH$8,TRUE)</f>
        <v>0</v>
      </c>
      <c r="J461" s="25" cm="1">
        <f t="array" aca="1" ref="J461" ca="1">SUMIFS(CA!$C462:$AQ462,CA!$C$7:$AQ$7,J$6,CA!$C$8:$AQ$8,TRUE)</f>
        <v>0</v>
      </c>
      <c r="K461" s="26" t="str" cm="1">
        <f t="array" ref="K461">IF(SUM(Quantity!O462:Z462)=0,"",SUM(Quantity!O462:Z462))</f>
        <v/>
      </c>
      <c r="L461" s="24" t="str" cm="1">
        <f t="array" ref="L461">IF(SUM(CA!O462:Z462)=0,"",SUM(CA!O462:Z462))</f>
        <v/>
      </c>
      <c r="M461" s="23" t="str" cm="1">
        <f t="array" ref="M461">IF(SUM(Quantity!C462:N462)=0,"",SUM(Quantity!C462:N462))</f>
        <v/>
      </c>
      <c r="N461" s="25" t="str" cm="1">
        <f t="array" ref="N461">IF(SUM(CA!C462:N462)=0,"",SUM(CA!C462:N462))</f>
        <v/>
      </c>
    </row>
    <row r="462" spans="1:14" x14ac:dyDescent="0.25">
      <c r="A462" s="1"/>
      <c r="B462" s="22" cm="1">
        <f t="array" ref="B462">Quantity!B463</f>
        <v>0</v>
      </c>
      <c r="C462" s="23" cm="1">
        <f t="array" ref="C462">Quantity!O463</f>
        <v>0</v>
      </c>
      <c r="D462" s="24" cm="1">
        <f t="array" ref="D462">CA!O463</f>
        <v>0</v>
      </c>
      <c r="E462" s="23" cm="1">
        <f t="array" ref="E462">Quantity!C463</f>
        <v>0</v>
      </c>
      <c r="F462" s="25" cm="1">
        <f t="array" ref="F462">CA!C463</f>
        <v>0</v>
      </c>
      <c r="G462" s="26" cm="1">
        <f t="array" aca="1" ref="G462" ca="1">SUMIFS(Quantity!$C463:$AH463,Quantity!$C$7:$AH$7,H$6,Quantity!$C$8:$AH$8,TRUE)</f>
        <v>0</v>
      </c>
      <c r="H462" s="24" cm="1">
        <f t="array" aca="1" ref="H462" ca="1">SUMIFS(CA!$C463:$AQ463,CA!$C$7:$AQ$7,H$6,CA!$C$8:$AQ$8,TRUE)</f>
        <v>0</v>
      </c>
      <c r="I462" s="23" cm="1">
        <f t="array" aca="1" ref="I462" ca="1">SUMIFS(Quantity!$C463:$AH463,Quantity!$C$7:$AH$7,J$6,Quantity!$C$8:$AH$8,TRUE)</f>
        <v>0</v>
      </c>
      <c r="J462" s="25" cm="1">
        <f t="array" aca="1" ref="J462" ca="1">SUMIFS(CA!$C463:$AQ463,CA!$C$7:$AQ$7,J$6,CA!$C$8:$AQ$8,TRUE)</f>
        <v>0</v>
      </c>
      <c r="K462" s="26" t="str" cm="1">
        <f t="array" ref="K462">IF(SUM(Quantity!O463:Z463)=0,"",SUM(Quantity!O463:Z463))</f>
        <v/>
      </c>
      <c r="L462" s="24" t="str" cm="1">
        <f t="array" ref="L462">IF(SUM(CA!O463:Z463)=0,"",SUM(CA!O463:Z463))</f>
        <v/>
      </c>
      <c r="M462" s="23" t="str" cm="1">
        <f t="array" ref="M462">IF(SUM(Quantity!C463:N463)=0,"",SUM(Quantity!C463:N463))</f>
        <v/>
      </c>
      <c r="N462" s="25" t="str" cm="1">
        <f t="array" ref="N462">IF(SUM(CA!C463:N463)=0,"",SUM(CA!C463:N463))</f>
        <v/>
      </c>
    </row>
    <row r="463" spans="1:14" x14ac:dyDescent="0.25">
      <c r="A463" s="1"/>
      <c r="B463" s="22" cm="1">
        <f t="array" ref="B463">Quantity!B464</f>
        <v>0</v>
      </c>
      <c r="C463" s="23" cm="1">
        <f t="array" ref="C463">Quantity!O464</f>
        <v>0</v>
      </c>
      <c r="D463" s="24" cm="1">
        <f t="array" ref="D463">CA!O464</f>
        <v>0</v>
      </c>
      <c r="E463" s="23" cm="1">
        <f t="array" ref="E463">Quantity!C464</f>
        <v>0</v>
      </c>
      <c r="F463" s="25" cm="1">
        <f t="array" ref="F463">CA!C464</f>
        <v>0</v>
      </c>
      <c r="G463" s="26" cm="1">
        <f t="array" aca="1" ref="G463" ca="1">SUMIFS(Quantity!$C464:$AH464,Quantity!$C$7:$AH$7,H$6,Quantity!$C$8:$AH$8,TRUE)</f>
        <v>0</v>
      </c>
      <c r="H463" s="24" cm="1">
        <f t="array" aca="1" ref="H463" ca="1">SUMIFS(CA!$C464:$AQ464,CA!$C$7:$AQ$7,H$6,CA!$C$8:$AQ$8,TRUE)</f>
        <v>0</v>
      </c>
      <c r="I463" s="23" cm="1">
        <f t="array" aca="1" ref="I463" ca="1">SUMIFS(Quantity!$C464:$AH464,Quantity!$C$7:$AH$7,J$6,Quantity!$C$8:$AH$8,TRUE)</f>
        <v>0</v>
      </c>
      <c r="J463" s="25" cm="1">
        <f t="array" aca="1" ref="J463" ca="1">SUMIFS(CA!$C464:$AQ464,CA!$C$7:$AQ$7,J$6,CA!$C$8:$AQ$8,TRUE)</f>
        <v>0</v>
      </c>
      <c r="K463" s="26" t="str" cm="1">
        <f t="array" ref="K463">IF(SUM(Quantity!O464:Z464)=0,"",SUM(Quantity!O464:Z464))</f>
        <v/>
      </c>
      <c r="L463" s="24" t="str" cm="1">
        <f t="array" ref="L463">IF(SUM(CA!O464:Z464)=0,"",SUM(CA!O464:Z464))</f>
        <v/>
      </c>
      <c r="M463" s="23" t="str" cm="1">
        <f t="array" ref="M463">IF(SUM(Quantity!C464:N464)=0,"",SUM(Quantity!C464:N464))</f>
        <v/>
      </c>
      <c r="N463" s="25" t="str" cm="1">
        <f t="array" ref="N463">IF(SUM(CA!C464:N464)=0,"",SUM(CA!C464:N464))</f>
        <v/>
      </c>
    </row>
    <row r="464" spans="1:14" x14ac:dyDescent="0.25">
      <c r="A464" s="1"/>
      <c r="B464" s="22" cm="1">
        <f t="array" ref="B464">Quantity!B465</f>
        <v>0</v>
      </c>
      <c r="C464" s="23" cm="1">
        <f t="array" ref="C464">Quantity!O465</f>
        <v>0</v>
      </c>
      <c r="D464" s="24" cm="1">
        <f t="array" ref="D464">CA!O465</f>
        <v>0</v>
      </c>
      <c r="E464" s="23" cm="1">
        <f t="array" ref="E464">Quantity!C465</f>
        <v>0</v>
      </c>
      <c r="F464" s="25" cm="1">
        <f t="array" ref="F464">CA!C465</f>
        <v>0</v>
      </c>
      <c r="G464" s="26" cm="1">
        <f t="array" aca="1" ref="G464" ca="1">SUMIFS(Quantity!$C465:$AH465,Quantity!$C$7:$AH$7,H$6,Quantity!$C$8:$AH$8,TRUE)</f>
        <v>0</v>
      </c>
      <c r="H464" s="24" cm="1">
        <f t="array" aca="1" ref="H464" ca="1">SUMIFS(CA!$C465:$AQ465,CA!$C$7:$AQ$7,H$6,CA!$C$8:$AQ$8,TRUE)</f>
        <v>0</v>
      </c>
      <c r="I464" s="23" cm="1">
        <f t="array" aca="1" ref="I464" ca="1">SUMIFS(Quantity!$C465:$AH465,Quantity!$C$7:$AH$7,J$6,Quantity!$C$8:$AH$8,TRUE)</f>
        <v>0</v>
      </c>
      <c r="J464" s="25" cm="1">
        <f t="array" aca="1" ref="J464" ca="1">SUMIFS(CA!$C465:$AQ465,CA!$C$7:$AQ$7,J$6,CA!$C$8:$AQ$8,TRUE)</f>
        <v>0</v>
      </c>
      <c r="K464" s="26" t="str" cm="1">
        <f t="array" ref="K464">IF(SUM(Quantity!O465:Z465)=0,"",SUM(Quantity!O465:Z465))</f>
        <v/>
      </c>
      <c r="L464" s="24" t="str" cm="1">
        <f t="array" ref="L464">IF(SUM(CA!O465:Z465)=0,"",SUM(CA!O465:Z465))</f>
        <v/>
      </c>
      <c r="M464" s="23" t="str" cm="1">
        <f t="array" ref="M464">IF(SUM(Quantity!C465:N465)=0,"",SUM(Quantity!C465:N465))</f>
        <v/>
      </c>
      <c r="N464" s="25" t="str" cm="1">
        <f t="array" ref="N464">IF(SUM(CA!C465:N465)=0,"",SUM(CA!C465:N465))</f>
        <v/>
      </c>
    </row>
    <row r="465" spans="1:14" x14ac:dyDescent="0.25">
      <c r="A465" s="1"/>
      <c r="B465" s="22" cm="1">
        <f t="array" ref="B465">Quantity!B466</f>
        <v>0</v>
      </c>
      <c r="C465" s="23" cm="1">
        <f t="array" ref="C465">Quantity!O466</f>
        <v>0</v>
      </c>
      <c r="D465" s="24" cm="1">
        <f t="array" ref="D465">CA!O466</f>
        <v>0</v>
      </c>
      <c r="E465" s="23" cm="1">
        <f t="array" ref="E465">Quantity!C466</f>
        <v>0</v>
      </c>
      <c r="F465" s="25" cm="1">
        <f t="array" ref="F465">CA!C466</f>
        <v>0</v>
      </c>
      <c r="G465" s="26" cm="1">
        <f t="array" aca="1" ref="G465" ca="1">SUMIFS(Quantity!$C466:$AH466,Quantity!$C$7:$AH$7,H$6,Quantity!$C$8:$AH$8,TRUE)</f>
        <v>0</v>
      </c>
      <c r="H465" s="24" cm="1">
        <f t="array" aca="1" ref="H465" ca="1">SUMIFS(CA!$C466:$AQ466,CA!$C$7:$AQ$7,H$6,CA!$C$8:$AQ$8,TRUE)</f>
        <v>0</v>
      </c>
      <c r="I465" s="23" cm="1">
        <f t="array" aca="1" ref="I465" ca="1">SUMIFS(Quantity!$C466:$AH466,Quantity!$C$7:$AH$7,J$6,Quantity!$C$8:$AH$8,TRUE)</f>
        <v>0</v>
      </c>
      <c r="J465" s="25" cm="1">
        <f t="array" aca="1" ref="J465" ca="1">SUMIFS(CA!$C466:$AQ466,CA!$C$7:$AQ$7,J$6,CA!$C$8:$AQ$8,TRUE)</f>
        <v>0</v>
      </c>
      <c r="K465" s="26" t="str" cm="1">
        <f t="array" ref="K465">IF(SUM(Quantity!O466:Z466)=0,"",SUM(Quantity!O466:Z466))</f>
        <v/>
      </c>
      <c r="L465" s="24" t="str" cm="1">
        <f t="array" ref="L465">IF(SUM(CA!O466:Z466)=0,"",SUM(CA!O466:Z466))</f>
        <v/>
      </c>
      <c r="M465" s="23" t="str" cm="1">
        <f t="array" ref="M465">IF(SUM(Quantity!C466:N466)=0,"",SUM(Quantity!C466:N466))</f>
        <v/>
      </c>
      <c r="N465" s="25" t="str" cm="1">
        <f t="array" ref="N465">IF(SUM(CA!C466:N466)=0,"",SUM(CA!C466:N466))</f>
        <v/>
      </c>
    </row>
    <row r="466" spans="1:14" x14ac:dyDescent="0.25">
      <c r="A466" s="1"/>
      <c r="B466" s="22" cm="1">
        <f t="array" ref="B466">Quantity!B467</f>
        <v>0</v>
      </c>
      <c r="C466" s="23" cm="1">
        <f t="array" ref="C466">Quantity!O467</f>
        <v>0</v>
      </c>
      <c r="D466" s="24" cm="1">
        <f t="array" ref="D466">CA!O467</f>
        <v>0</v>
      </c>
      <c r="E466" s="23" cm="1">
        <f t="array" ref="E466">Quantity!C467</f>
        <v>0</v>
      </c>
      <c r="F466" s="25" cm="1">
        <f t="array" ref="F466">CA!C467</f>
        <v>0</v>
      </c>
      <c r="G466" s="26" cm="1">
        <f t="array" aca="1" ref="G466" ca="1">SUMIFS(Quantity!$C467:$AH467,Quantity!$C$7:$AH$7,H$6,Quantity!$C$8:$AH$8,TRUE)</f>
        <v>0</v>
      </c>
      <c r="H466" s="24" cm="1">
        <f t="array" aca="1" ref="H466" ca="1">SUMIFS(CA!$C467:$AQ467,CA!$C$7:$AQ$7,H$6,CA!$C$8:$AQ$8,TRUE)</f>
        <v>0</v>
      </c>
      <c r="I466" s="23" cm="1">
        <f t="array" aca="1" ref="I466" ca="1">SUMIFS(Quantity!$C467:$AH467,Quantity!$C$7:$AH$7,J$6,Quantity!$C$8:$AH$8,TRUE)</f>
        <v>0</v>
      </c>
      <c r="J466" s="25" cm="1">
        <f t="array" aca="1" ref="J466" ca="1">SUMIFS(CA!$C467:$AQ467,CA!$C$7:$AQ$7,J$6,CA!$C$8:$AQ$8,TRUE)</f>
        <v>0</v>
      </c>
      <c r="K466" s="26" t="str" cm="1">
        <f t="array" ref="K466">IF(SUM(Quantity!O467:Z467)=0,"",SUM(Quantity!O467:Z467))</f>
        <v/>
      </c>
      <c r="L466" s="24" t="str" cm="1">
        <f t="array" ref="L466">IF(SUM(CA!O467:Z467)=0,"",SUM(CA!O467:Z467))</f>
        <v/>
      </c>
      <c r="M466" s="23" t="str" cm="1">
        <f t="array" ref="M466">IF(SUM(Quantity!C467:N467)=0,"",SUM(Quantity!C467:N467))</f>
        <v/>
      </c>
      <c r="N466" s="25" t="str" cm="1">
        <f t="array" ref="N466">IF(SUM(CA!C467:N467)=0,"",SUM(CA!C467:N467))</f>
        <v/>
      </c>
    </row>
    <row r="467" spans="1:14" x14ac:dyDescent="0.25">
      <c r="A467" s="1"/>
      <c r="B467" s="22" cm="1">
        <f t="array" ref="B467">Quantity!B468</f>
        <v>0</v>
      </c>
      <c r="C467" s="23" cm="1">
        <f t="array" ref="C467">Quantity!O468</f>
        <v>0</v>
      </c>
      <c r="D467" s="24" cm="1">
        <f t="array" ref="D467">CA!O468</f>
        <v>0</v>
      </c>
      <c r="E467" s="23" cm="1">
        <f t="array" ref="E467">Quantity!C468</f>
        <v>0</v>
      </c>
      <c r="F467" s="25" cm="1">
        <f t="array" ref="F467">CA!C468</f>
        <v>0</v>
      </c>
      <c r="G467" s="26" cm="1">
        <f t="array" aca="1" ref="G467" ca="1">SUMIFS(Quantity!$C468:$AH468,Quantity!$C$7:$AH$7,H$6,Quantity!$C$8:$AH$8,TRUE)</f>
        <v>0</v>
      </c>
      <c r="H467" s="24" cm="1">
        <f t="array" aca="1" ref="H467" ca="1">SUMIFS(CA!$C468:$AQ468,CA!$C$7:$AQ$7,H$6,CA!$C$8:$AQ$8,TRUE)</f>
        <v>0</v>
      </c>
      <c r="I467" s="23" cm="1">
        <f t="array" aca="1" ref="I467" ca="1">SUMIFS(Quantity!$C468:$AH468,Quantity!$C$7:$AH$7,J$6,Quantity!$C$8:$AH$8,TRUE)</f>
        <v>0</v>
      </c>
      <c r="J467" s="25" cm="1">
        <f t="array" aca="1" ref="J467" ca="1">SUMIFS(CA!$C468:$AQ468,CA!$C$7:$AQ$7,J$6,CA!$C$8:$AQ$8,TRUE)</f>
        <v>0</v>
      </c>
      <c r="K467" s="26" t="str" cm="1">
        <f t="array" ref="K467">IF(SUM(Quantity!O468:Z468)=0,"",SUM(Quantity!O468:Z468))</f>
        <v/>
      </c>
      <c r="L467" s="24" t="str" cm="1">
        <f t="array" ref="L467">IF(SUM(CA!O468:Z468)=0,"",SUM(CA!O468:Z468))</f>
        <v/>
      </c>
      <c r="M467" s="23" t="str" cm="1">
        <f t="array" ref="M467">IF(SUM(Quantity!C468:N468)=0,"",SUM(Quantity!C468:N468))</f>
        <v/>
      </c>
      <c r="N467" s="25" t="str" cm="1">
        <f t="array" ref="N467">IF(SUM(CA!C468:N468)=0,"",SUM(CA!C468:N468))</f>
        <v/>
      </c>
    </row>
    <row r="468" spans="1:14" x14ac:dyDescent="0.25">
      <c r="A468" s="1"/>
      <c r="B468" s="22" cm="1">
        <f t="array" ref="B468">Quantity!B469</f>
        <v>0</v>
      </c>
      <c r="C468" s="23" cm="1">
        <f t="array" ref="C468">Quantity!O469</f>
        <v>0</v>
      </c>
      <c r="D468" s="24" cm="1">
        <f t="array" ref="D468">CA!O469</f>
        <v>0</v>
      </c>
      <c r="E468" s="23" cm="1">
        <f t="array" ref="E468">Quantity!C469</f>
        <v>0</v>
      </c>
      <c r="F468" s="25" cm="1">
        <f t="array" ref="F468">CA!C469</f>
        <v>0</v>
      </c>
      <c r="G468" s="26" cm="1">
        <f t="array" aca="1" ref="G468" ca="1">SUMIFS(Quantity!$C469:$AH469,Quantity!$C$7:$AH$7,H$6,Quantity!$C$8:$AH$8,TRUE)</f>
        <v>0</v>
      </c>
      <c r="H468" s="24" cm="1">
        <f t="array" aca="1" ref="H468" ca="1">SUMIFS(CA!$C469:$AQ469,CA!$C$7:$AQ$7,H$6,CA!$C$8:$AQ$8,TRUE)</f>
        <v>0</v>
      </c>
      <c r="I468" s="23" cm="1">
        <f t="array" aca="1" ref="I468" ca="1">SUMIFS(Quantity!$C469:$AH469,Quantity!$C$7:$AH$7,J$6,Quantity!$C$8:$AH$8,TRUE)</f>
        <v>0</v>
      </c>
      <c r="J468" s="25" cm="1">
        <f t="array" aca="1" ref="J468" ca="1">SUMIFS(CA!$C469:$AQ469,CA!$C$7:$AQ$7,J$6,CA!$C$8:$AQ$8,TRUE)</f>
        <v>0</v>
      </c>
      <c r="K468" s="26" t="str" cm="1">
        <f t="array" ref="K468">IF(SUM(Quantity!O469:Z469)=0,"",SUM(Quantity!O469:Z469))</f>
        <v/>
      </c>
      <c r="L468" s="24" t="str" cm="1">
        <f t="array" ref="L468">IF(SUM(CA!O469:Z469)=0,"",SUM(CA!O469:Z469))</f>
        <v/>
      </c>
      <c r="M468" s="23" t="str" cm="1">
        <f t="array" ref="M468">IF(SUM(Quantity!C469:N469)=0,"",SUM(Quantity!C469:N469))</f>
        <v/>
      </c>
      <c r="N468" s="25" t="str" cm="1">
        <f t="array" ref="N468">IF(SUM(CA!C469:N469)=0,"",SUM(CA!C469:N469))</f>
        <v/>
      </c>
    </row>
    <row r="469" spans="1:14" x14ac:dyDescent="0.25">
      <c r="A469" s="1"/>
      <c r="B469" s="22" cm="1">
        <f t="array" ref="B469">Quantity!B470</f>
        <v>0</v>
      </c>
      <c r="C469" s="23" cm="1">
        <f t="array" ref="C469">Quantity!O470</f>
        <v>0</v>
      </c>
      <c r="D469" s="24" cm="1">
        <f t="array" ref="D469">CA!O470</f>
        <v>0</v>
      </c>
      <c r="E469" s="23" cm="1">
        <f t="array" ref="E469">Quantity!C470</f>
        <v>0</v>
      </c>
      <c r="F469" s="25" cm="1">
        <f t="array" ref="F469">CA!C470</f>
        <v>0</v>
      </c>
      <c r="G469" s="26" cm="1">
        <f t="array" aca="1" ref="G469" ca="1">SUMIFS(Quantity!$C470:$AH470,Quantity!$C$7:$AH$7,H$6,Quantity!$C$8:$AH$8,TRUE)</f>
        <v>0</v>
      </c>
      <c r="H469" s="24" cm="1">
        <f t="array" aca="1" ref="H469" ca="1">SUMIFS(CA!$C470:$AQ470,CA!$C$7:$AQ$7,H$6,CA!$C$8:$AQ$8,TRUE)</f>
        <v>0</v>
      </c>
      <c r="I469" s="23" cm="1">
        <f t="array" aca="1" ref="I469" ca="1">SUMIFS(Quantity!$C470:$AH470,Quantity!$C$7:$AH$7,J$6,Quantity!$C$8:$AH$8,TRUE)</f>
        <v>0</v>
      </c>
      <c r="J469" s="25" cm="1">
        <f t="array" aca="1" ref="J469" ca="1">SUMIFS(CA!$C470:$AQ470,CA!$C$7:$AQ$7,J$6,CA!$C$8:$AQ$8,TRUE)</f>
        <v>0</v>
      </c>
      <c r="K469" s="26" t="str" cm="1">
        <f t="array" ref="K469">IF(SUM(Quantity!O470:Z470)=0,"",SUM(Quantity!O470:Z470))</f>
        <v/>
      </c>
      <c r="L469" s="24" t="str" cm="1">
        <f t="array" ref="L469">IF(SUM(CA!O470:Z470)=0,"",SUM(CA!O470:Z470))</f>
        <v/>
      </c>
      <c r="M469" s="23" t="str" cm="1">
        <f t="array" ref="M469">IF(SUM(Quantity!C470:N470)=0,"",SUM(Quantity!C470:N470))</f>
        <v/>
      </c>
      <c r="N469" s="25" t="str" cm="1">
        <f t="array" ref="N469">IF(SUM(CA!C470:N470)=0,"",SUM(CA!C470:N470))</f>
        <v/>
      </c>
    </row>
    <row r="470" spans="1:14" x14ac:dyDescent="0.25">
      <c r="A470" s="1"/>
      <c r="B470" s="22" cm="1">
        <f t="array" ref="B470">Quantity!B471</f>
        <v>0</v>
      </c>
      <c r="C470" s="23" cm="1">
        <f t="array" ref="C470">Quantity!O471</f>
        <v>0</v>
      </c>
      <c r="D470" s="24" cm="1">
        <f t="array" ref="D470">CA!O471</f>
        <v>0</v>
      </c>
      <c r="E470" s="23" cm="1">
        <f t="array" ref="E470">Quantity!C471</f>
        <v>0</v>
      </c>
      <c r="F470" s="25" cm="1">
        <f t="array" ref="F470">CA!C471</f>
        <v>0</v>
      </c>
      <c r="G470" s="26" cm="1">
        <f t="array" aca="1" ref="G470" ca="1">SUMIFS(Quantity!$C471:$AH471,Quantity!$C$7:$AH$7,H$6,Quantity!$C$8:$AH$8,TRUE)</f>
        <v>0</v>
      </c>
      <c r="H470" s="24" cm="1">
        <f t="array" aca="1" ref="H470" ca="1">SUMIFS(CA!$C471:$AQ471,CA!$C$7:$AQ$7,H$6,CA!$C$8:$AQ$8,TRUE)</f>
        <v>0</v>
      </c>
      <c r="I470" s="23" cm="1">
        <f t="array" aca="1" ref="I470" ca="1">SUMIFS(Quantity!$C471:$AH471,Quantity!$C$7:$AH$7,J$6,Quantity!$C$8:$AH$8,TRUE)</f>
        <v>0</v>
      </c>
      <c r="J470" s="25" cm="1">
        <f t="array" aca="1" ref="J470" ca="1">SUMIFS(CA!$C471:$AQ471,CA!$C$7:$AQ$7,J$6,CA!$C$8:$AQ$8,TRUE)</f>
        <v>0</v>
      </c>
      <c r="K470" s="26" t="str" cm="1">
        <f t="array" ref="K470">IF(SUM(Quantity!O471:Z471)=0,"",SUM(Quantity!O471:Z471))</f>
        <v/>
      </c>
      <c r="L470" s="24" t="str" cm="1">
        <f t="array" ref="L470">IF(SUM(CA!O471:Z471)=0,"",SUM(CA!O471:Z471))</f>
        <v/>
      </c>
      <c r="M470" s="23" t="str" cm="1">
        <f t="array" ref="M470">IF(SUM(Quantity!C471:N471)=0,"",SUM(Quantity!C471:N471))</f>
        <v/>
      </c>
      <c r="N470" s="25" t="str" cm="1">
        <f t="array" ref="N470">IF(SUM(CA!C471:N471)=0,"",SUM(CA!C471:N471))</f>
        <v/>
      </c>
    </row>
    <row r="471" spans="1:14" x14ac:dyDescent="0.25">
      <c r="A471" s="1"/>
      <c r="B471" s="22" cm="1">
        <f t="array" ref="B471">Quantity!B472</f>
        <v>0</v>
      </c>
      <c r="C471" s="23" cm="1">
        <f t="array" ref="C471">Quantity!O472</f>
        <v>0</v>
      </c>
      <c r="D471" s="24" cm="1">
        <f t="array" ref="D471">CA!O472</f>
        <v>0</v>
      </c>
      <c r="E471" s="23" cm="1">
        <f t="array" ref="E471">Quantity!C472</f>
        <v>0</v>
      </c>
      <c r="F471" s="25" cm="1">
        <f t="array" ref="F471">CA!C472</f>
        <v>0</v>
      </c>
      <c r="G471" s="26" cm="1">
        <f t="array" aca="1" ref="G471" ca="1">SUMIFS(Quantity!$C472:$AH472,Quantity!$C$7:$AH$7,H$6,Quantity!$C$8:$AH$8,TRUE)</f>
        <v>0</v>
      </c>
      <c r="H471" s="24" cm="1">
        <f t="array" aca="1" ref="H471" ca="1">SUMIFS(CA!$C472:$AQ472,CA!$C$7:$AQ$7,H$6,CA!$C$8:$AQ$8,TRUE)</f>
        <v>0</v>
      </c>
      <c r="I471" s="23" cm="1">
        <f t="array" aca="1" ref="I471" ca="1">SUMIFS(Quantity!$C472:$AH472,Quantity!$C$7:$AH$7,J$6,Quantity!$C$8:$AH$8,TRUE)</f>
        <v>0</v>
      </c>
      <c r="J471" s="25" cm="1">
        <f t="array" aca="1" ref="J471" ca="1">SUMIFS(CA!$C472:$AQ472,CA!$C$7:$AQ$7,J$6,CA!$C$8:$AQ$8,TRUE)</f>
        <v>0</v>
      </c>
      <c r="K471" s="26" t="str" cm="1">
        <f t="array" ref="K471">IF(SUM(Quantity!O472:Z472)=0,"",SUM(Quantity!O472:Z472))</f>
        <v/>
      </c>
      <c r="L471" s="24" t="str" cm="1">
        <f t="array" ref="L471">IF(SUM(CA!O472:Z472)=0,"",SUM(CA!O472:Z472))</f>
        <v/>
      </c>
      <c r="M471" s="23" t="str" cm="1">
        <f t="array" ref="M471">IF(SUM(Quantity!C472:N472)=0,"",SUM(Quantity!C472:N472))</f>
        <v/>
      </c>
      <c r="N471" s="25" t="str" cm="1">
        <f t="array" ref="N471">IF(SUM(CA!C472:N472)=0,"",SUM(CA!C472:N472))</f>
        <v/>
      </c>
    </row>
    <row r="472" spans="1:14" x14ac:dyDescent="0.25">
      <c r="A472" s="1"/>
      <c r="B472" s="22" cm="1">
        <f t="array" ref="B472">Quantity!B473</f>
        <v>0</v>
      </c>
      <c r="C472" s="23" cm="1">
        <f t="array" ref="C472">Quantity!O473</f>
        <v>0</v>
      </c>
      <c r="D472" s="24" cm="1">
        <f t="array" ref="D472">CA!O473</f>
        <v>0</v>
      </c>
      <c r="E472" s="23" cm="1">
        <f t="array" ref="E472">Quantity!C473</f>
        <v>0</v>
      </c>
      <c r="F472" s="25" cm="1">
        <f t="array" ref="F472">CA!C473</f>
        <v>0</v>
      </c>
      <c r="G472" s="26" cm="1">
        <f t="array" aca="1" ref="G472" ca="1">SUMIFS(Quantity!$C473:$AH473,Quantity!$C$7:$AH$7,H$6,Quantity!$C$8:$AH$8,TRUE)</f>
        <v>0</v>
      </c>
      <c r="H472" s="24" cm="1">
        <f t="array" aca="1" ref="H472" ca="1">SUMIFS(CA!$C473:$AQ473,CA!$C$7:$AQ$7,H$6,CA!$C$8:$AQ$8,TRUE)</f>
        <v>0</v>
      </c>
      <c r="I472" s="23" cm="1">
        <f t="array" aca="1" ref="I472" ca="1">SUMIFS(Quantity!$C473:$AH473,Quantity!$C$7:$AH$7,J$6,Quantity!$C$8:$AH$8,TRUE)</f>
        <v>0</v>
      </c>
      <c r="J472" s="25" cm="1">
        <f t="array" aca="1" ref="J472" ca="1">SUMIFS(CA!$C473:$AQ473,CA!$C$7:$AQ$7,J$6,CA!$C$8:$AQ$8,TRUE)</f>
        <v>0</v>
      </c>
      <c r="K472" s="26" t="str" cm="1">
        <f t="array" ref="K472">IF(SUM(Quantity!O473:Z473)=0,"",SUM(Quantity!O473:Z473))</f>
        <v/>
      </c>
      <c r="L472" s="24" t="str" cm="1">
        <f t="array" ref="L472">IF(SUM(CA!O473:Z473)=0,"",SUM(CA!O473:Z473))</f>
        <v/>
      </c>
      <c r="M472" s="23" t="str" cm="1">
        <f t="array" ref="M472">IF(SUM(Quantity!C473:N473)=0,"",SUM(Quantity!C473:N473))</f>
        <v/>
      </c>
      <c r="N472" s="25" t="str" cm="1">
        <f t="array" ref="N472">IF(SUM(CA!C473:N473)=0,"",SUM(CA!C473:N473))</f>
        <v/>
      </c>
    </row>
    <row r="473" spans="1:14" x14ac:dyDescent="0.25">
      <c r="A473" s="1"/>
      <c r="B473" s="22" cm="1">
        <f t="array" ref="B473">Quantity!B474</f>
        <v>0</v>
      </c>
      <c r="C473" s="23" cm="1">
        <f t="array" ref="C473">Quantity!O474</f>
        <v>0</v>
      </c>
      <c r="D473" s="24" cm="1">
        <f t="array" ref="D473">CA!O474</f>
        <v>0</v>
      </c>
      <c r="E473" s="23" cm="1">
        <f t="array" ref="E473">Quantity!C474</f>
        <v>0</v>
      </c>
      <c r="F473" s="25" cm="1">
        <f t="array" ref="F473">CA!C474</f>
        <v>0</v>
      </c>
      <c r="G473" s="26" cm="1">
        <f t="array" aca="1" ref="G473" ca="1">SUMIFS(Quantity!$C474:$AH474,Quantity!$C$7:$AH$7,H$6,Quantity!$C$8:$AH$8,TRUE)</f>
        <v>0</v>
      </c>
      <c r="H473" s="24" cm="1">
        <f t="array" aca="1" ref="H473" ca="1">SUMIFS(CA!$C474:$AQ474,CA!$C$7:$AQ$7,H$6,CA!$C$8:$AQ$8,TRUE)</f>
        <v>0</v>
      </c>
      <c r="I473" s="23" cm="1">
        <f t="array" aca="1" ref="I473" ca="1">SUMIFS(Quantity!$C474:$AH474,Quantity!$C$7:$AH$7,J$6,Quantity!$C$8:$AH$8,TRUE)</f>
        <v>0</v>
      </c>
      <c r="J473" s="25" cm="1">
        <f t="array" aca="1" ref="J473" ca="1">SUMIFS(CA!$C474:$AQ474,CA!$C$7:$AQ$7,J$6,CA!$C$8:$AQ$8,TRUE)</f>
        <v>0</v>
      </c>
      <c r="K473" s="26" t="str" cm="1">
        <f t="array" ref="K473">IF(SUM(Quantity!O474:Z474)=0,"",SUM(Quantity!O474:Z474))</f>
        <v/>
      </c>
      <c r="L473" s="24" t="str" cm="1">
        <f t="array" ref="L473">IF(SUM(CA!O474:Z474)=0,"",SUM(CA!O474:Z474))</f>
        <v/>
      </c>
      <c r="M473" s="23" t="str" cm="1">
        <f t="array" ref="M473">IF(SUM(Quantity!C474:N474)=0,"",SUM(Quantity!C474:N474))</f>
        <v/>
      </c>
      <c r="N473" s="25" t="str" cm="1">
        <f t="array" ref="N473">IF(SUM(CA!C474:N474)=0,"",SUM(CA!C474:N474))</f>
        <v/>
      </c>
    </row>
    <row r="474" spans="1:14" x14ac:dyDescent="0.25">
      <c r="A474" s="1"/>
      <c r="B474" s="22" cm="1">
        <f t="array" ref="B474">Quantity!B475</f>
        <v>0</v>
      </c>
      <c r="C474" s="23" cm="1">
        <f t="array" ref="C474">Quantity!O475</f>
        <v>0</v>
      </c>
      <c r="D474" s="24" cm="1">
        <f t="array" ref="D474">CA!O475</f>
        <v>0</v>
      </c>
      <c r="E474" s="23" cm="1">
        <f t="array" ref="E474">Quantity!C475</f>
        <v>0</v>
      </c>
      <c r="F474" s="25" cm="1">
        <f t="array" ref="F474">CA!C475</f>
        <v>0</v>
      </c>
      <c r="G474" s="26" cm="1">
        <f t="array" aca="1" ref="G474" ca="1">SUMIFS(Quantity!$C475:$AH475,Quantity!$C$7:$AH$7,H$6,Quantity!$C$8:$AH$8,TRUE)</f>
        <v>0</v>
      </c>
      <c r="H474" s="24" cm="1">
        <f t="array" aca="1" ref="H474" ca="1">SUMIFS(CA!$C475:$AQ475,CA!$C$7:$AQ$7,H$6,CA!$C$8:$AQ$8,TRUE)</f>
        <v>0</v>
      </c>
      <c r="I474" s="23" cm="1">
        <f t="array" aca="1" ref="I474" ca="1">SUMIFS(Quantity!$C475:$AH475,Quantity!$C$7:$AH$7,J$6,Quantity!$C$8:$AH$8,TRUE)</f>
        <v>0</v>
      </c>
      <c r="J474" s="25" cm="1">
        <f t="array" aca="1" ref="J474" ca="1">SUMIFS(CA!$C475:$AQ475,CA!$C$7:$AQ$7,J$6,CA!$C$8:$AQ$8,TRUE)</f>
        <v>0</v>
      </c>
      <c r="K474" s="26" t="str" cm="1">
        <f t="array" ref="K474">IF(SUM(Quantity!O475:Z475)=0,"",SUM(Quantity!O475:Z475))</f>
        <v/>
      </c>
      <c r="L474" s="24" t="str" cm="1">
        <f t="array" ref="L474">IF(SUM(CA!O475:Z475)=0,"",SUM(CA!O475:Z475))</f>
        <v/>
      </c>
      <c r="M474" s="23" t="str" cm="1">
        <f t="array" ref="M474">IF(SUM(Quantity!C475:N475)=0,"",SUM(Quantity!C475:N475))</f>
        <v/>
      </c>
      <c r="N474" s="25" t="str" cm="1">
        <f t="array" ref="N474">IF(SUM(CA!C475:N475)=0,"",SUM(CA!C475:N475))</f>
        <v/>
      </c>
    </row>
    <row r="475" spans="1:14" x14ac:dyDescent="0.25">
      <c r="A475" s="1"/>
      <c r="B475" s="22" cm="1">
        <f t="array" ref="B475">Quantity!B476</f>
        <v>0</v>
      </c>
      <c r="C475" s="23" cm="1">
        <f t="array" ref="C475">Quantity!O476</f>
        <v>0</v>
      </c>
      <c r="D475" s="24" cm="1">
        <f t="array" ref="D475">CA!O476</f>
        <v>0</v>
      </c>
      <c r="E475" s="23" cm="1">
        <f t="array" ref="E475">Quantity!C476</f>
        <v>0</v>
      </c>
      <c r="F475" s="25" cm="1">
        <f t="array" ref="F475">CA!C476</f>
        <v>0</v>
      </c>
      <c r="G475" s="26" cm="1">
        <f t="array" aca="1" ref="G475" ca="1">SUMIFS(Quantity!$C476:$AH476,Quantity!$C$7:$AH$7,H$6,Quantity!$C$8:$AH$8,TRUE)</f>
        <v>0</v>
      </c>
      <c r="H475" s="24" cm="1">
        <f t="array" aca="1" ref="H475" ca="1">SUMIFS(CA!$C476:$AQ476,CA!$C$7:$AQ$7,H$6,CA!$C$8:$AQ$8,TRUE)</f>
        <v>0</v>
      </c>
      <c r="I475" s="23" cm="1">
        <f t="array" aca="1" ref="I475" ca="1">SUMIFS(Quantity!$C476:$AH476,Quantity!$C$7:$AH$7,J$6,Quantity!$C$8:$AH$8,TRUE)</f>
        <v>0</v>
      </c>
      <c r="J475" s="25" cm="1">
        <f t="array" aca="1" ref="J475" ca="1">SUMIFS(CA!$C476:$AQ476,CA!$C$7:$AQ$7,J$6,CA!$C$8:$AQ$8,TRUE)</f>
        <v>0</v>
      </c>
      <c r="K475" s="26" t="str" cm="1">
        <f t="array" ref="K475">IF(SUM(Quantity!O476:Z476)=0,"",SUM(Quantity!O476:Z476))</f>
        <v/>
      </c>
      <c r="L475" s="24" t="str" cm="1">
        <f t="array" ref="L475">IF(SUM(CA!O476:Z476)=0,"",SUM(CA!O476:Z476))</f>
        <v/>
      </c>
      <c r="M475" s="23" t="str" cm="1">
        <f t="array" ref="M475">IF(SUM(Quantity!C476:N476)=0,"",SUM(Quantity!C476:N476))</f>
        <v/>
      </c>
      <c r="N475" s="25" t="str" cm="1">
        <f t="array" ref="N475">IF(SUM(CA!C476:N476)=0,"",SUM(CA!C476:N476))</f>
        <v/>
      </c>
    </row>
    <row r="476" spans="1:14" x14ac:dyDescent="0.25">
      <c r="A476" s="1"/>
      <c r="B476" s="22" cm="1">
        <f t="array" ref="B476">Quantity!B477</f>
        <v>0</v>
      </c>
      <c r="C476" s="23" cm="1">
        <f t="array" ref="C476">Quantity!O477</f>
        <v>0</v>
      </c>
      <c r="D476" s="24" cm="1">
        <f t="array" ref="D476">CA!O477</f>
        <v>0</v>
      </c>
      <c r="E476" s="23" cm="1">
        <f t="array" ref="E476">Quantity!C477</f>
        <v>0</v>
      </c>
      <c r="F476" s="25" cm="1">
        <f t="array" ref="F476">CA!C477</f>
        <v>0</v>
      </c>
      <c r="G476" s="26" cm="1">
        <f t="array" aca="1" ref="G476" ca="1">SUMIFS(Quantity!$C477:$AH477,Quantity!$C$7:$AH$7,H$6,Quantity!$C$8:$AH$8,TRUE)</f>
        <v>0</v>
      </c>
      <c r="H476" s="24" cm="1">
        <f t="array" aca="1" ref="H476" ca="1">SUMIFS(CA!$C477:$AQ477,CA!$C$7:$AQ$7,H$6,CA!$C$8:$AQ$8,TRUE)</f>
        <v>0</v>
      </c>
      <c r="I476" s="23" cm="1">
        <f t="array" aca="1" ref="I476" ca="1">SUMIFS(Quantity!$C477:$AH477,Quantity!$C$7:$AH$7,J$6,Quantity!$C$8:$AH$8,TRUE)</f>
        <v>0</v>
      </c>
      <c r="J476" s="25" cm="1">
        <f t="array" aca="1" ref="J476" ca="1">SUMIFS(CA!$C477:$AQ477,CA!$C$7:$AQ$7,J$6,CA!$C$8:$AQ$8,TRUE)</f>
        <v>0</v>
      </c>
      <c r="K476" s="26" t="str" cm="1">
        <f t="array" ref="K476">IF(SUM(Quantity!O477:Z477)=0,"",SUM(Quantity!O477:Z477))</f>
        <v/>
      </c>
      <c r="L476" s="24" t="str" cm="1">
        <f t="array" ref="L476">IF(SUM(CA!O477:Z477)=0,"",SUM(CA!O477:Z477))</f>
        <v/>
      </c>
      <c r="M476" s="23" t="str" cm="1">
        <f t="array" ref="M476">IF(SUM(Quantity!C477:N477)=0,"",SUM(Quantity!C477:N477))</f>
        <v/>
      </c>
      <c r="N476" s="25" t="str" cm="1">
        <f t="array" ref="N476">IF(SUM(CA!C477:N477)=0,"",SUM(CA!C477:N477))</f>
        <v/>
      </c>
    </row>
    <row r="477" spans="1:14" x14ac:dyDescent="0.25">
      <c r="A477" s="1"/>
      <c r="B477" s="22" cm="1">
        <f t="array" ref="B477">Quantity!B478</f>
        <v>0</v>
      </c>
      <c r="C477" s="23" cm="1">
        <f t="array" ref="C477">Quantity!O478</f>
        <v>0</v>
      </c>
      <c r="D477" s="24" cm="1">
        <f t="array" ref="D477">CA!O478</f>
        <v>0</v>
      </c>
      <c r="E477" s="23" cm="1">
        <f t="array" ref="E477">Quantity!C478</f>
        <v>0</v>
      </c>
      <c r="F477" s="25" cm="1">
        <f t="array" ref="F477">CA!C478</f>
        <v>0</v>
      </c>
      <c r="G477" s="26" cm="1">
        <f t="array" aca="1" ref="G477" ca="1">SUMIFS(Quantity!$C478:$AH478,Quantity!$C$7:$AH$7,H$6,Quantity!$C$8:$AH$8,TRUE)</f>
        <v>0</v>
      </c>
      <c r="H477" s="24" cm="1">
        <f t="array" aca="1" ref="H477" ca="1">SUMIFS(CA!$C478:$AQ478,CA!$C$7:$AQ$7,H$6,CA!$C$8:$AQ$8,TRUE)</f>
        <v>0</v>
      </c>
      <c r="I477" s="23" cm="1">
        <f t="array" aca="1" ref="I477" ca="1">SUMIFS(Quantity!$C478:$AH478,Quantity!$C$7:$AH$7,J$6,Quantity!$C$8:$AH$8,TRUE)</f>
        <v>0</v>
      </c>
      <c r="J477" s="25" cm="1">
        <f t="array" aca="1" ref="J477" ca="1">SUMIFS(CA!$C478:$AQ478,CA!$C$7:$AQ$7,J$6,CA!$C$8:$AQ$8,TRUE)</f>
        <v>0</v>
      </c>
      <c r="K477" s="26" t="str" cm="1">
        <f t="array" ref="K477">IF(SUM(Quantity!O478:Z478)=0,"",SUM(Quantity!O478:Z478))</f>
        <v/>
      </c>
      <c r="L477" s="24" t="str" cm="1">
        <f t="array" ref="L477">IF(SUM(CA!O478:Z478)=0,"",SUM(CA!O478:Z478))</f>
        <v/>
      </c>
      <c r="M477" s="23" t="str" cm="1">
        <f t="array" ref="M477">IF(SUM(Quantity!C478:N478)=0,"",SUM(Quantity!C478:N478))</f>
        <v/>
      </c>
      <c r="N477" s="25" t="str" cm="1">
        <f t="array" ref="N477">IF(SUM(CA!C478:N478)=0,"",SUM(CA!C478:N478))</f>
        <v/>
      </c>
    </row>
    <row r="478" spans="1:14" x14ac:dyDescent="0.25">
      <c r="A478" s="1"/>
      <c r="B478" s="22" cm="1">
        <f t="array" ref="B478">Quantity!B479</f>
        <v>0</v>
      </c>
      <c r="C478" s="23" cm="1">
        <f t="array" ref="C478">Quantity!O479</f>
        <v>0</v>
      </c>
      <c r="D478" s="24" cm="1">
        <f t="array" ref="D478">CA!O479</f>
        <v>0</v>
      </c>
      <c r="E478" s="23" cm="1">
        <f t="array" ref="E478">Quantity!C479</f>
        <v>0</v>
      </c>
      <c r="F478" s="25" cm="1">
        <f t="array" ref="F478">CA!C479</f>
        <v>0</v>
      </c>
      <c r="G478" s="26" cm="1">
        <f t="array" aca="1" ref="G478" ca="1">SUMIFS(Quantity!$C479:$AH479,Quantity!$C$7:$AH$7,H$6,Quantity!$C$8:$AH$8,TRUE)</f>
        <v>0</v>
      </c>
      <c r="H478" s="24" cm="1">
        <f t="array" aca="1" ref="H478" ca="1">SUMIFS(CA!$C479:$AQ479,CA!$C$7:$AQ$7,H$6,CA!$C$8:$AQ$8,TRUE)</f>
        <v>0</v>
      </c>
      <c r="I478" s="23" cm="1">
        <f t="array" aca="1" ref="I478" ca="1">SUMIFS(Quantity!$C479:$AH479,Quantity!$C$7:$AH$7,J$6,Quantity!$C$8:$AH$8,TRUE)</f>
        <v>0</v>
      </c>
      <c r="J478" s="25" cm="1">
        <f t="array" aca="1" ref="J478" ca="1">SUMIFS(CA!$C479:$AQ479,CA!$C$7:$AQ$7,J$6,CA!$C$8:$AQ$8,TRUE)</f>
        <v>0</v>
      </c>
      <c r="K478" s="26" t="str" cm="1">
        <f t="array" ref="K478">IF(SUM(Quantity!O479:Z479)=0,"",SUM(Quantity!O479:Z479))</f>
        <v/>
      </c>
      <c r="L478" s="24" t="str" cm="1">
        <f t="array" ref="L478">IF(SUM(CA!O479:Z479)=0,"",SUM(CA!O479:Z479))</f>
        <v/>
      </c>
      <c r="M478" s="23" t="str" cm="1">
        <f t="array" ref="M478">IF(SUM(Quantity!C479:N479)=0,"",SUM(Quantity!C479:N479))</f>
        <v/>
      </c>
      <c r="N478" s="25" t="str" cm="1">
        <f t="array" ref="N478">IF(SUM(CA!C479:N479)=0,"",SUM(CA!C479:N479))</f>
        <v/>
      </c>
    </row>
    <row r="479" spans="1:14" x14ac:dyDescent="0.25">
      <c r="A479" s="1"/>
      <c r="B479" s="22" cm="1">
        <f t="array" ref="B479">Quantity!B480</f>
        <v>0</v>
      </c>
      <c r="C479" s="23" cm="1">
        <f t="array" ref="C479">Quantity!O480</f>
        <v>0</v>
      </c>
      <c r="D479" s="24" cm="1">
        <f t="array" ref="D479">CA!O480</f>
        <v>0</v>
      </c>
      <c r="E479" s="23" cm="1">
        <f t="array" ref="E479">Quantity!C480</f>
        <v>0</v>
      </c>
      <c r="F479" s="25" cm="1">
        <f t="array" ref="F479">CA!C480</f>
        <v>0</v>
      </c>
      <c r="G479" s="26" cm="1">
        <f t="array" aca="1" ref="G479" ca="1">SUMIFS(Quantity!$C480:$AH480,Quantity!$C$7:$AH$7,H$6,Quantity!$C$8:$AH$8,TRUE)</f>
        <v>0</v>
      </c>
      <c r="H479" s="24" cm="1">
        <f t="array" aca="1" ref="H479" ca="1">SUMIFS(CA!$C480:$AQ480,CA!$C$7:$AQ$7,H$6,CA!$C$8:$AQ$8,TRUE)</f>
        <v>0</v>
      </c>
      <c r="I479" s="23" cm="1">
        <f t="array" aca="1" ref="I479" ca="1">SUMIFS(Quantity!$C480:$AH480,Quantity!$C$7:$AH$7,J$6,Quantity!$C$8:$AH$8,TRUE)</f>
        <v>0</v>
      </c>
      <c r="J479" s="25" cm="1">
        <f t="array" aca="1" ref="J479" ca="1">SUMIFS(CA!$C480:$AQ480,CA!$C$7:$AQ$7,J$6,CA!$C$8:$AQ$8,TRUE)</f>
        <v>0</v>
      </c>
      <c r="K479" s="26" t="str" cm="1">
        <f t="array" ref="K479">IF(SUM(Quantity!O480:Z480)=0,"",SUM(Quantity!O480:Z480))</f>
        <v/>
      </c>
      <c r="L479" s="24" t="str" cm="1">
        <f t="array" ref="L479">IF(SUM(CA!O480:Z480)=0,"",SUM(CA!O480:Z480))</f>
        <v/>
      </c>
      <c r="M479" s="23" t="str" cm="1">
        <f t="array" ref="M479">IF(SUM(Quantity!C480:N480)=0,"",SUM(Quantity!C480:N480))</f>
        <v/>
      </c>
      <c r="N479" s="25" t="str" cm="1">
        <f t="array" ref="N479">IF(SUM(CA!C480:N480)=0,"",SUM(CA!C480:N480))</f>
        <v/>
      </c>
    </row>
    <row r="480" spans="1:14" x14ac:dyDescent="0.25">
      <c r="A480" s="1"/>
      <c r="B480" s="22" cm="1">
        <f t="array" ref="B480">Quantity!B481</f>
        <v>0</v>
      </c>
      <c r="C480" s="23" cm="1">
        <f t="array" ref="C480">Quantity!O481</f>
        <v>0</v>
      </c>
      <c r="D480" s="24" cm="1">
        <f t="array" ref="D480">CA!O481</f>
        <v>0</v>
      </c>
      <c r="E480" s="23" cm="1">
        <f t="array" ref="E480">Quantity!C481</f>
        <v>0</v>
      </c>
      <c r="F480" s="25" cm="1">
        <f t="array" ref="F480">CA!C481</f>
        <v>0</v>
      </c>
      <c r="G480" s="26" cm="1">
        <f t="array" aca="1" ref="G480" ca="1">SUMIFS(Quantity!$C481:$AH481,Quantity!$C$7:$AH$7,H$6,Quantity!$C$8:$AH$8,TRUE)</f>
        <v>0</v>
      </c>
      <c r="H480" s="24" cm="1">
        <f t="array" aca="1" ref="H480" ca="1">SUMIFS(CA!$C481:$AQ481,CA!$C$7:$AQ$7,H$6,CA!$C$8:$AQ$8,TRUE)</f>
        <v>0</v>
      </c>
      <c r="I480" s="23" cm="1">
        <f t="array" aca="1" ref="I480" ca="1">SUMIFS(Quantity!$C481:$AH481,Quantity!$C$7:$AH$7,J$6,Quantity!$C$8:$AH$8,TRUE)</f>
        <v>0</v>
      </c>
      <c r="J480" s="25" cm="1">
        <f t="array" aca="1" ref="J480" ca="1">SUMIFS(CA!$C481:$AQ481,CA!$C$7:$AQ$7,J$6,CA!$C$8:$AQ$8,TRUE)</f>
        <v>0</v>
      </c>
      <c r="K480" s="26" t="str" cm="1">
        <f t="array" ref="K480">IF(SUM(Quantity!O481:Z481)=0,"",SUM(Quantity!O481:Z481))</f>
        <v/>
      </c>
      <c r="L480" s="24" t="str" cm="1">
        <f t="array" ref="L480">IF(SUM(CA!O481:Z481)=0,"",SUM(CA!O481:Z481))</f>
        <v/>
      </c>
      <c r="M480" s="23" t="str" cm="1">
        <f t="array" ref="M480">IF(SUM(Quantity!C481:N481)=0,"",SUM(Quantity!C481:N481))</f>
        <v/>
      </c>
      <c r="N480" s="25" t="str" cm="1">
        <f t="array" ref="N480">IF(SUM(CA!C481:N481)=0,"",SUM(CA!C481:N481))</f>
        <v/>
      </c>
    </row>
    <row r="481" spans="1:14" x14ac:dyDescent="0.25">
      <c r="A481" s="1"/>
      <c r="B481" s="22" cm="1">
        <f t="array" ref="B481">Quantity!B482</f>
        <v>0</v>
      </c>
      <c r="C481" s="23" cm="1">
        <f t="array" ref="C481">Quantity!O482</f>
        <v>0</v>
      </c>
      <c r="D481" s="24" cm="1">
        <f t="array" ref="D481">CA!O482</f>
        <v>0</v>
      </c>
      <c r="E481" s="23" cm="1">
        <f t="array" ref="E481">Quantity!C482</f>
        <v>0</v>
      </c>
      <c r="F481" s="25" cm="1">
        <f t="array" ref="F481">CA!C482</f>
        <v>0</v>
      </c>
      <c r="G481" s="26" cm="1">
        <f t="array" aca="1" ref="G481" ca="1">SUMIFS(Quantity!$C482:$AH482,Quantity!$C$7:$AH$7,H$6,Quantity!$C$8:$AH$8,TRUE)</f>
        <v>0</v>
      </c>
      <c r="H481" s="24" cm="1">
        <f t="array" aca="1" ref="H481" ca="1">SUMIFS(CA!$C482:$AQ482,CA!$C$7:$AQ$7,H$6,CA!$C$8:$AQ$8,TRUE)</f>
        <v>0</v>
      </c>
      <c r="I481" s="23" cm="1">
        <f t="array" aca="1" ref="I481" ca="1">SUMIFS(Quantity!$C482:$AH482,Quantity!$C$7:$AH$7,J$6,Quantity!$C$8:$AH$8,TRUE)</f>
        <v>0</v>
      </c>
      <c r="J481" s="25" cm="1">
        <f t="array" aca="1" ref="J481" ca="1">SUMIFS(CA!$C482:$AQ482,CA!$C$7:$AQ$7,J$6,CA!$C$8:$AQ$8,TRUE)</f>
        <v>0</v>
      </c>
      <c r="K481" s="26" t="str" cm="1">
        <f t="array" ref="K481">IF(SUM(Quantity!O482:Z482)=0,"",SUM(Quantity!O482:Z482))</f>
        <v/>
      </c>
      <c r="L481" s="24" t="str" cm="1">
        <f t="array" ref="L481">IF(SUM(CA!O482:Z482)=0,"",SUM(CA!O482:Z482))</f>
        <v/>
      </c>
      <c r="M481" s="23" t="str" cm="1">
        <f t="array" ref="M481">IF(SUM(Quantity!C482:N482)=0,"",SUM(Quantity!C482:N482))</f>
        <v/>
      </c>
      <c r="N481" s="25" t="str" cm="1">
        <f t="array" ref="N481">IF(SUM(CA!C482:N482)=0,"",SUM(CA!C482:N482))</f>
        <v/>
      </c>
    </row>
    <row r="482" spans="1:14" x14ac:dyDescent="0.25">
      <c r="A482" s="1"/>
      <c r="B482" s="22" cm="1">
        <f t="array" ref="B482">Quantity!B483</f>
        <v>0</v>
      </c>
      <c r="C482" s="23" cm="1">
        <f t="array" ref="C482">Quantity!O483</f>
        <v>0</v>
      </c>
      <c r="D482" s="24" cm="1">
        <f t="array" ref="D482">CA!O483</f>
        <v>0</v>
      </c>
      <c r="E482" s="23" cm="1">
        <f t="array" ref="E482">Quantity!C483</f>
        <v>0</v>
      </c>
      <c r="F482" s="25" cm="1">
        <f t="array" ref="F482">CA!C483</f>
        <v>0</v>
      </c>
      <c r="G482" s="26" cm="1">
        <f t="array" aca="1" ref="G482" ca="1">SUMIFS(Quantity!$C483:$AH483,Quantity!$C$7:$AH$7,H$6,Quantity!$C$8:$AH$8,TRUE)</f>
        <v>0</v>
      </c>
      <c r="H482" s="24" cm="1">
        <f t="array" aca="1" ref="H482" ca="1">SUMIFS(CA!$C483:$AQ483,CA!$C$7:$AQ$7,H$6,CA!$C$8:$AQ$8,TRUE)</f>
        <v>0</v>
      </c>
      <c r="I482" s="23" cm="1">
        <f t="array" aca="1" ref="I482" ca="1">SUMIFS(Quantity!$C483:$AH483,Quantity!$C$7:$AH$7,J$6,Quantity!$C$8:$AH$8,TRUE)</f>
        <v>0</v>
      </c>
      <c r="J482" s="25" cm="1">
        <f t="array" aca="1" ref="J482" ca="1">SUMIFS(CA!$C483:$AQ483,CA!$C$7:$AQ$7,J$6,CA!$C$8:$AQ$8,TRUE)</f>
        <v>0</v>
      </c>
      <c r="K482" s="26" t="str" cm="1">
        <f t="array" ref="K482">IF(SUM(Quantity!O483:Z483)=0,"",SUM(Quantity!O483:Z483))</f>
        <v/>
      </c>
      <c r="L482" s="24" t="str" cm="1">
        <f t="array" ref="L482">IF(SUM(CA!O483:Z483)=0,"",SUM(CA!O483:Z483))</f>
        <v/>
      </c>
      <c r="M482" s="23" t="str" cm="1">
        <f t="array" ref="M482">IF(SUM(Quantity!C483:N483)=0,"",SUM(Quantity!C483:N483))</f>
        <v/>
      </c>
      <c r="N482" s="25" t="str" cm="1">
        <f t="array" ref="N482">IF(SUM(CA!C483:N483)=0,"",SUM(CA!C483:N483))</f>
        <v/>
      </c>
    </row>
    <row r="483" spans="1:14" x14ac:dyDescent="0.25">
      <c r="A483" s="1"/>
      <c r="B483" s="22" cm="1">
        <f t="array" ref="B483">Quantity!B484</f>
        <v>0</v>
      </c>
      <c r="C483" s="23" cm="1">
        <f t="array" ref="C483">Quantity!O484</f>
        <v>0</v>
      </c>
      <c r="D483" s="24" cm="1">
        <f t="array" ref="D483">CA!O484</f>
        <v>0</v>
      </c>
      <c r="E483" s="23" cm="1">
        <f t="array" ref="E483">Quantity!C484</f>
        <v>0</v>
      </c>
      <c r="F483" s="25" cm="1">
        <f t="array" ref="F483">CA!C484</f>
        <v>0</v>
      </c>
      <c r="G483" s="26" cm="1">
        <f t="array" aca="1" ref="G483" ca="1">SUMIFS(Quantity!$C484:$AH484,Quantity!$C$7:$AH$7,H$6,Quantity!$C$8:$AH$8,TRUE)</f>
        <v>0</v>
      </c>
      <c r="H483" s="24" cm="1">
        <f t="array" aca="1" ref="H483" ca="1">SUMIFS(CA!$C484:$AQ484,CA!$C$7:$AQ$7,H$6,CA!$C$8:$AQ$8,TRUE)</f>
        <v>0</v>
      </c>
      <c r="I483" s="23" cm="1">
        <f t="array" aca="1" ref="I483" ca="1">SUMIFS(Quantity!$C484:$AH484,Quantity!$C$7:$AH$7,J$6,Quantity!$C$8:$AH$8,TRUE)</f>
        <v>0</v>
      </c>
      <c r="J483" s="25" cm="1">
        <f t="array" aca="1" ref="J483" ca="1">SUMIFS(CA!$C484:$AQ484,CA!$C$7:$AQ$7,J$6,CA!$C$8:$AQ$8,TRUE)</f>
        <v>0</v>
      </c>
      <c r="K483" s="26" t="str" cm="1">
        <f t="array" ref="K483">IF(SUM(Quantity!O484:Z484)=0,"",SUM(Quantity!O484:Z484))</f>
        <v/>
      </c>
      <c r="L483" s="24" t="str" cm="1">
        <f t="array" ref="L483">IF(SUM(CA!O484:Z484)=0,"",SUM(CA!O484:Z484))</f>
        <v/>
      </c>
      <c r="M483" s="23" t="str" cm="1">
        <f t="array" ref="M483">IF(SUM(Quantity!C484:N484)=0,"",SUM(Quantity!C484:N484))</f>
        <v/>
      </c>
      <c r="N483" s="25" t="str" cm="1">
        <f t="array" ref="N483">IF(SUM(CA!C484:N484)=0,"",SUM(CA!C484:N484))</f>
        <v/>
      </c>
    </row>
    <row r="484" spans="1:14" x14ac:dyDescent="0.25">
      <c r="A484" s="1"/>
      <c r="B484" s="22" cm="1">
        <f t="array" ref="B484">Quantity!B485</f>
        <v>0</v>
      </c>
      <c r="C484" s="23" cm="1">
        <f t="array" ref="C484">Quantity!O485</f>
        <v>0</v>
      </c>
      <c r="D484" s="24" cm="1">
        <f t="array" ref="D484">CA!O485</f>
        <v>0</v>
      </c>
      <c r="E484" s="23" cm="1">
        <f t="array" ref="E484">Quantity!C485</f>
        <v>0</v>
      </c>
      <c r="F484" s="25" cm="1">
        <f t="array" ref="F484">CA!C485</f>
        <v>0</v>
      </c>
      <c r="G484" s="26" cm="1">
        <f t="array" aca="1" ref="G484" ca="1">SUMIFS(Quantity!$C485:$AH485,Quantity!$C$7:$AH$7,H$6,Quantity!$C$8:$AH$8,TRUE)</f>
        <v>0</v>
      </c>
      <c r="H484" s="24" cm="1">
        <f t="array" aca="1" ref="H484" ca="1">SUMIFS(CA!$C485:$AQ485,CA!$C$7:$AQ$7,H$6,CA!$C$8:$AQ$8,TRUE)</f>
        <v>0</v>
      </c>
      <c r="I484" s="23" cm="1">
        <f t="array" aca="1" ref="I484" ca="1">SUMIFS(Quantity!$C485:$AH485,Quantity!$C$7:$AH$7,J$6,Quantity!$C$8:$AH$8,TRUE)</f>
        <v>0</v>
      </c>
      <c r="J484" s="25" cm="1">
        <f t="array" aca="1" ref="J484" ca="1">SUMIFS(CA!$C485:$AQ485,CA!$C$7:$AQ$7,J$6,CA!$C$8:$AQ$8,TRUE)</f>
        <v>0</v>
      </c>
      <c r="K484" s="26" t="str" cm="1">
        <f t="array" ref="K484">IF(SUM(Quantity!O485:Z485)=0,"",SUM(Quantity!O485:Z485))</f>
        <v/>
      </c>
      <c r="L484" s="24" t="str" cm="1">
        <f t="array" ref="L484">IF(SUM(CA!O485:Z485)=0,"",SUM(CA!O485:Z485))</f>
        <v/>
      </c>
      <c r="M484" s="23" t="str" cm="1">
        <f t="array" ref="M484">IF(SUM(Quantity!C485:N485)=0,"",SUM(Quantity!C485:N485))</f>
        <v/>
      </c>
      <c r="N484" s="25" t="str" cm="1">
        <f t="array" ref="N484">IF(SUM(CA!C485:N485)=0,"",SUM(CA!C485:N485))</f>
        <v/>
      </c>
    </row>
    <row r="485" spans="1:14" x14ac:dyDescent="0.25">
      <c r="A485" s="1"/>
      <c r="B485" s="22" cm="1">
        <f t="array" ref="B485">Quantity!B486</f>
        <v>0</v>
      </c>
      <c r="C485" s="23" cm="1">
        <f t="array" ref="C485">Quantity!O486</f>
        <v>0</v>
      </c>
      <c r="D485" s="24" cm="1">
        <f t="array" ref="D485">CA!O486</f>
        <v>0</v>
      </c>
      <c r="E485" s="23" cm="1">
        <f t="array" ref="E485">Quantity!C486</f>
        <v>0</v>
      </c>
      <c r="F485" s="25" cm="1">
        <f t="array" ref="F485">CA!C486</f>
        <v>0</v>
      </c>
      <c r="G485" s="26" cm="1">
        <f t="array" aca="1" ref="G485" ca="1">SUMIFS(Quantity!$C486:$AH486,Quantity!$C$7:$AH$7,H$6,Quantity!$C$8:$AH$8,TRUE)</f>
        <v>0</v>
      </c>
      <c r="H485" s="24" cm="1">
        <f t="array" aca="1" ref="H485" ca="1">SUMIFS(CA!$C486:$AQ486,CA!$C$7:$AQ$7,H$6,CA!$C$8:$AQ$8,TRUE)</f>
        <v>0</v>
      </c>
      <c r="I485" s="23" cm="1">
        <f t="array" aca="1" ref="I485" ca="1">SUMIFS(Quantity!$C486:$AH486,Quantity!$C$7:$AH$7,J$6,Quantity!$C$8:$AH$8,TRUE)</f>
        <v>0</v>
      </c>
      <c r="J485" s="25" cm="1">
        <f t="array" aca="1" ref="J485" ca="1">SUMIFS(CA!$C486:$AQ486,CA!$C$7:$AQ$7,J$6,CA!$C$8:$AQ$8,TRUE)</f>
        <v>0</v>
      </c>
      <c r="K485" s="26" t="str" cm="1">
        <f t="array" ref="K485">IF(SUM(Quantity!O486:Z486)=0,"",SUM(Quantity!O486:Z486))</f>
        <v/>
      </c>
      <c r="L485" s="24" t="str" cm="1">
        <f t="array" ref="L485">IF(SUM(CA!O486:Z486)=0,"",SUM(CA!O486:Z486))</f>
        <v/>
      </c>
      <c r="M485" s="23" t="str" cm="1">
        <f t="array" ref="M485">IF(SUM(Quantity!C486:N486)=0,"",SUM(Quantity!C486:N486))</f>
        <v/>
      </c>
      <c r="N485" s="25" t="str" cm="1">
        <f t="array" ref="N485">IF(SUM(CA!C486:N486)=0,"",SUM(CA!C486:N486))</f>
        <v/>
      </c>
    </row>
    <row r="486" spans="1:14" x14ac:dyDescent="0.25">
      <c r="A486" s="1"/>
      <c r="B486" s="22" cm="1">
        <f t="array" ref="B486">Quantity!B487</f>
        <v>0</v>
      </c>
      <c r="C486" s="23" cm="1">
        <f t="array" ref="C486">Quantity!O487</f>
        <v>0</v>
      </c>
      <c r="D486" s="24" cm="1">
        <f t="array" ref="D486">CA!O487</f>
        <v>0</v>
      </c>
      <c r="E486" s="23" cm="1">
        <f t="array" ref="E486">Quantity!C487</f>
        <v>0</v>
      </c>
      <c r="F486" s="25" cm="1">
        <f t="array" ref="F486">CA!C487</f>
        <v>0</v>
      </c>
      <c r="G486" s="26" cm="1">
        <f t="array" aca="1" ref="G486" ca="1">SUMIFS(Quantity!$C487:$AH487,Quantity!$C$7:$AH$7,H$6,Quantity!$C$8:$AH$8,TRUE)</f>
        <v>0</v>
      </c>
      <c r="H486" s="24" cm="1">
        <f t="array" aca="1" ref="H486" ca="1">SUMIFS(CA!$C487:$AQ487,CA!$C$7:$AQ$7,H$6,CA!$C$8:$AQ$8,TRUE)</f>
        <v>0</v>
      </c>
      <c r="I486" s="23" cm="1">
        <f t="array" aca="1" ref="I486" ca="1">SUMIFS(Quantity!$C487:$AH487,Quantity!$C$7:$AH$7,J$6,Quantity!$C$8:$AH$8,TRUE)</f>
        <v>0</v>
      </c>
      <c r="J486" s="25" cm="1">
        <f t="array" aca="1" ref="J486" ca="1">SUMIFS(CA!$C487:$AQ487,CA!$C$7:$AQ$7,J$6,CA!$C$8:$AQ$8,TRUE)</f>
        <v>0</v>
      </c>
      <c r="K486" s="26" t="str" cm="1">
        <f t="array" ref="K486">IF(SUM(Quantity!O487:Z487)=0,"",SUM(Quantity!O487:Z487))</f>
        <v/>
      </c>
      <c r="L486" s="24" t="str" cm="1">
        <f t="array" ref="L486">IF(SUM(CA!O487:Z487)=0,"",SUM(CA!O487:Z487))</f>
        <v/>
      </c>
      <c r="M486" s="23" t="str" cm="1">
        <f t="array" ref="M486">IF(SUM(Quantity!C487:N487)=0,"",SUM(Quantity!C487:N487))</f>
        <v/>
      </c>
      <c r="N486" s="25" t="str" cm="1">
        <f t="array" ref="N486">IF(SUM(CA!C487:N487)=0,"",SUM(CA!C487:N487))</f>
        <v/>
      </c>
    </row>
    <row r="487" spans="1:14" x14ac:dyDescent="0.25">
      <c r="A487" s="1"/>
      <c r="B487" s="22" cm="1">
        <f t="array" ref="B487">Quantity!B488</f>
        <v>0</v>
      </c>
      <c r="C487" s="23" cm="1">
        <f t="array" ref="C487">Quantity!O488</f>
        <v>0</v>
      </c>
      <c r="D487" s="24" cm="1">
        <f t="array" ref="D487">CA!O488</f>
        <v>0</v>
      </c>
      <c r="E487" s="23" cm="1">
        <f t="array" ref="E487">Quantity!C488</f>
        <v>0</v>
      </c>
      <c r="F487" s="25" cm="1">
        <f t="array" ref="F487">CA!C488</f>
        <v>0</v>
      </c>
      <c r="G487" s="26" cm="1">
        <f t="array" aca="1" ref="G487" ca="1">SUMIFS(Quantity!$C488:$AH488,Quantity!$C$7:$AH$7,H$6,Quantity!$C$8:$AH$8,TRUE)</f>
        <v>0</v>
      </c>
      <c r="H487" s="24" cm="1">
        <f t="array" aca="1" ref="H487" ca="1">SUMIFS(CA!$C488:$AQ488,CA!$C$7:$AQ$7,H$6,CA!$C$8:$AQ$8,TRUE)</f>
        <v>0</v>
      </c>
      <c r="I487" s="23" cm="1">
        <f t="array" aca="1" ref="I487" ca="1">SUMIFS(Quantity!$C488:$AH488,Quantity!$C$7:$AH$7,J$6,Quantity!$C$8:$AH$8,TRUE)</f>
        <v>0</v>
      </c>
      <c r="J487" s="25" cm="1">
        <f t="array" aca="1" ref="J487" ca="1">SUMIFS(CA!$C488:$AQ488,CA!$C$7:$AQ$7,J$6,CA!$C$8:$AQ$8,TRUE)</f>
        <v>0</v>
      </c>
      <c r="K487" s="26" t="str" cm="1">
        <f t="array" ref="K487">IF(SUM(Quantity!O488:Z488)=0,"",SUM(Quantity!O488:Z488))</f>
        <v/>
      </c>
      <c r="L487" s="24" t="str" cm="1">
        <f t="array" ref="L487">IF(SUM(CA!O488:Z488)=0,"",SUM(CA!O488:Z488))</f>
        <v/>
      </c>
      <c r="M487" s="23" t="str" cm="1">
        <f t="array" ref="M487">IF(SUM(Quantity!C488:N488)=0,"",SUM(Quantity!C488:N488))</f>
        <v/>
      </c>
      <c r="N487" s="25" t="str" cm="1">
        <f t="array" ref="N487">IF(SUM(CA!C488:N488)=0,"",SUM(CA!C488:N488))</f>
        <v/>
      </c>
    </row>
    <row r="488" spans="1:14" x14ac:dyDescent="0.25">
      <c r="A488" s="1"/>
      <c r="B488" s="22" cm="1">
        <f t="array" ref="B488">Quantity!B489</f>
        <v>0</v>
      </c>
      <c r="C488" s="23" cm="1">
        <f t="array" ref="C488">Quantity!O489</f>
        <v>0</v>
      </c>
      <c r="D488" s="24" cm="1">
        <f t="array" ref="D488">CA!O489</f>
        <v>0</v>
      </c>
      <c r="E488" s="23" cm="1">
        <f t="array" ref="E488">Quantity!C489</f>
        <v>0</v>
      </c>
      <c r="F488" s="25" cm="1">
        <f t="array" ref="F488">CA!C489</f>
        <v>0</v>
      </c>
      <c r="G488" s="26" cm="1">
        <f t="array" aca="1" ref="G488" ca="1">SUMIFS(Quantity!$C489:$AH489,Quantity!$C$7:$AH$7,H$6,Quantity!$C$8:$AH$8,TRUE)</f>
        <v>0</v>
      </c>
      <c r="H488" s="24" cm="1">
        <f t="array" aca="1" ref="H488" ca="1">SUMIFS(CA!$C489:$AQ489,CA!$C$7:$AQ$7,H$6,CA!$C$8:$AQ$8,TRUE)</f>
        <v>0</v>
      </c>
      <c r="I488" s="23" cm="1">
        <f t="array" aca="1" ref="I488" ca="1">SUMIFS(Quantity!$C489:$AH489,Quantity!$C$7:$AH$7,J$6,Quantity!$C$8:$AH$8,TRUE)</f>
        <v>0</v>
      </c>
      <c r="J488" s="25" cm="1">
        <f t="array" aca="1" ref="J488" ca="1">SUMIFS(CA!$C489:$AQ489,CA!$C$7:$AQ$7,J$6,CA!$C$8:$AQ$8,TRUE)</f>
        <v>0</v>
      </c>
      <c r="K488" s="26" t="str" cm="1">
        <f t="array" ref="K488">IF(SUM(Quantity!O489:Z489)=0,"",SUM(Quantity!O489:Z489))</f>
        <v/>
      </c>
      <c r="L488" s="24" t="str" cm="1">
        <f t="array" ref="L488">IF(SUM(CA!O489:Z489)=0,"",SUM(CA!O489:Z489))</f>
        <v/>
      </c>
      <c r="M488" s="23" t="str" cm="1">
        <f t="array" ref="M488">IF(SUM(Quantity!C489:N489)=0,"",SUM(Quantity!C489:N489))</f>
        <v/>
      </c>
      <c r="N488" s="25" t="str" cm="1">
        <f t="array" ref="N488">IF(SUM(CA!C489:N489)=0,"",SUM(CA!C489:N489))</f>
        <v/>
      </c>
    </row>
    <row r="489" spans="1:14" x14ac:dyDescent="0.25">
      <c r="A489" s="1"/>
      <c r="B489" s="22" cm="1">
        <f t="array" ref="B489">Quantity!B490</f>
        <v>0</v>
      </c>
      <c r="C489" s="23" cm="1">
        <f t="array" ref="C489">Quantity!O490</f>
        <v>0</v>
      </c>
      <c r="D489" s="24" cm="1">
        <f t="array" ref="D489">CA!O490</f>
        <v>0</v>
      </c>
      <c r="E489" s="23" cm="1">
        <f t="array" ref="E489">Quantity!C490</f>
        <v>0</v>
      </c>
      <c r="F489" s="25" cm="1">
        <f t="array" ref="F489">CA!C490</f>
        <v>0</v>
      </c>
      <c r="G489" s="26" cm="1">
        <f t="array" aca="1" ref="G489" ca="1">SUMIFS(Quantity!$C490:$AH490,Quantity!$C$7:$AH$7,H$6,Quantity!$C$8:$AH$8,TRUE)</f>
        <v>0</v>
      </c>
      <c r="H489" s="24" cm="1">
        <f t="array" aca="1" ref="H489" ca="1">SUMIFS(CA!$C490:$AQ490,CA!$C$7:$AQ$7,H$6,CA!$C$8:$AQ$8,TRUE)</f>
        <v>0</v>
      </c>
      <c r="I489" s="23" cm="1">
        <f t="array" aca="1" ref="I489" ca="1">SUMIFS(Quantity!$C490:$AH490,Quantity!$C$7:$AH$7,J$6,Quantity!$C$8:$AH$8,TRUE)</f>
        <v>0</v>
      </c>
      <c r="J489" s="25" cm="1">
        <f t="array" aca="1" ref="J489" ca="1">SUMIFS(CA!$C490:$AQ490,CA!$C$7:$AQ$7,J$6,CA!$C$8:$AQ$8,TRUE)</f>
        <v>0</v>
      </c>
      <c r="K489" s="26" t="str" cm="1">
        <f t="array" ref="K489">IF(SUM(Quantity!O490:Z490)=0,"",SUM(Quantity!O490:Z490))</f>
        <v/>
      </c>
      <c r="L489" s="24" t="str" cm="1">
        <f t="array" ref="L489">IF(SUM(CA!O490:Z490)=0,"",SUM(CA!O490:Z490))</f>
        <v/>
      </c>
      <c r="M489" s="23" t="str" cm="1">
        <f t="array" ref="M489">IF(SUM(Quantity!C490:N490)=0,"",SUM(Quantity!C490:N490))</f>
        <v/>
      </c>
      <c r="N489" s="25" t="str" cm="1">
        <f t="array" ref="N489">IF(SUM(CA!C490:N490)=0,"",SUM(CA!C490:N490))</f>
        <v/>
      </c>
    </row>
    <row r="490" spans="1:14" x14ac:dyDescent="0.25">
      <c r="A490" s="1"/>
      <c r="B490" s="22" cm="1">
        <f t="array" ref="B490">Quantity!B491</f>
        <v>0</v>
      </c>
      <c r="C490" s="23" cm="1">
        <f t="array" ref="C490">Quantity!O491</f>
        <v>0</v>
      </c>
      <c r="D490" s="24" cm="1">
        <f t="array" ref="D490">CA!O491</f>
        <v>0</v>
      </c>
      <c r="E490" s="23" cm="1">
        <f t="array" ref="E490">Quantity!C491</f>
        <v>0</v>
      </c>
      <c r="F490" s="25" cm="1">
        <f t="array" ref="F490">CA!C491</f>
        <v>0</v>
      </c>
      <c r="G490" s="26" cm="1">
        <f t="array" aca="1" ref="G490" ca="1">SUMIFS(Quantity!$C491:$AH491,Quantity!$C$7:$AH$7,H$6,Quantity!$C$8:$AH$8,TRUE)</f>
        <v>0</v>
      </c>
      <c r="H490" s="24" cm="1">
        <f t="array" aca="1" ref="H490" ca="1">SUMIFS(CA!$C491:$AQ491,CA!$C$7:$AQ$7,H$6,CA!$C$8:$AQ$8,TRUE)</f>
        <v>0</v>
      </c>
      <c r="I490" s="23" cm="1">
        <f t="array" aca="1" ref="I490" ca="1">SUMIFS(Quantity!$C491:$AH491,Quantity!$C$7:$AH$7,J$6,Quantity!$C$8:$AH$8,TRUE)</f>
        <v>0</v>
      </c>
      <c r="J490" s="25" cm="1">
        <f t="array" aca="1" ref="J490" ca="1">SUMIFS(CA!$C491:$AQ491,CA!$C$7:$AQ$7,J$6,CA!$C$8:$AQ$8,TRUE)</f>
        <v>0</v>
      </c>
      <c r="K490" s="26" t="str" cm="1">
        <f t="array" ref="K490">IF(SUM(Quantity!O491:Z491)=0,"",SUM(Quantity!O491:Z491))</f>
        <v/>
      </c>
      <c r="L490" s="24" t="str" cm="1">
        <f t="array" ref="L490">IF(SUM(CA!O491:Z491)=0,"",SUM(CA!O491:Z491))</f>
        <v/>
      </c>
      <c r="M490" s="23" t="str" cm="1">
        <f t="array" ref="M490">IF(SUM(Quantity!C491:N491)=0,"",SUM(Quantity!C491:N491))</f>
        <v/>
      </c>
      <c r="N490" s="25" t="str" cm="1">
        <f t="array" ref="N490">IF(SUM(CA!C491:N491)=0,"",SUM(CA!C491:N491))</f>
        <v/>
      </c>
    </row>
    <row r="491" spans="1:14" x14ac:dyDescent="0.25">
      <c r="A491" s="1"/>
      <c r="B491" s="22" cm="1">
        <f t="array" ref="B491">Quantity!B492</f>
        <v>0</v>
      </c>
      <c r="C491" s="23" cm="1">
        <f t="array" ref="C491">Quantity!O492</f>
        <v>0</v>
      </c>
      <c r="D491" s="24" cm="1">
        <f t="array" ref="D491">CA!O492</f>
        <v>0</v>
      </c>
      <c r="E491" s="23" cm="1">
        <f t="array" ref="E491">Quantity!C492</f>
        <v>0</v>
      </c>
      <c r="F491" s="25" cm="1">
        <f t="array" ref="F491">CA!C492</f>
        <v>0</v>
      </c>
      <c r="G491" s="26" cm="1">
        <f t="array" aca="1" ref="G491" ca="1">SUMIFS(Quantity!$C492:$AH492,Quantity!$C$7:$AH$7,H$6,Quantity!$C$8:$AH$8,TRUE)</f>
        <v>0</v>
      </c>
      <c r="H491" s="24" cm="1">
        <f t="array" aca="1" ref="H491" ca="1">SUMIFS(CA!$C492:$AQ492,CA!$C$7:$AQ$7,H$6,CA!$C$8:$AQ$8,TRUE)</f>
        <v>0</v>
      </c>
      <c r="I491" s="23" cm="1">
        <f t="array" aca="1" ref="I491" ca="1">SUMIFS(Quantity!$C492:$AH492,Quantity!$C$7:$AH$7,J$6,Quantity!$C$8:$AH$8,TRUE)</f>
        <v>0</v>
      </c>
      <c r="J491" s="25" cm="1">
        <f t="array" aca="1" ref="J491" ca="1">SUMIFS(CA!$C492:$AQ492,CA!$C$7:$AQ$7,J$6,CA!$C$8:$AQ$8,TRUE)</f>
        <v>0</v>
      </c>
      <c r="K491" s="26" t="str" cm="1">
        <f t="array" ref="K491">IF(SUM(Quantity!O492:Z492)=0,"",SUM(Quantity!O492:Z492))</f>
        <v/>
      </c>
      <c r="L491" s="24" t="str" cm="1">
        <f t="array" ref="L491">IF(SUM(CA!O492:Z492)=0,"",SUM(CA!O492:Z492))</f>
        <v/>
      </c>
      <c r="M491" s="23" t="str" cm="1">
        <f t="array" ref="M491">IF(SUM(Quantity!C492:N492)=0,"",SUM(Quantity!C492:N492))</f>
        <v/>
      </c>
      <c r="N491" s="25" t="str" cm="1">
        <f t="array" ref="N491">IF(SUM(CA!C492:N492)=0,"",SUM(CA!C492:N492))</f>
        <v/>
      </c>
    </row>
    <row r="492" spans="1:14" x14ac:dyDescent="0.25">
      <c r="A492" s="1"/>
      <c r="B492" s="22" cm="1">
        <f t="array" ref="B492">Quantity!B493</f>
        <v>0</v>
      </c>
      <c r="C492" s="23" cm="1">
        <f t="array" ref="C492">Quantity!O493</f>
        <v>0</v>
      </c>
      <c r="D492" s="24" cm="1">
        <f t="array" ref="D492">CA!O493</f>
        <v>0</v>
      </c>
      <c r="E492" s="23" cm="1">
        <f t="array" ref="E492">Quantity!C493</f>
        <v>0</v>
      </c>
      <c r="F492" s="25" cm="1">
        <f t="array" ref="F492">CA!C493</f>
        <v>0</v>
      </c>
      <c r="G492" s="26" cm="1">
        <f t="array" aca="1" ref="G492" ca="1">SUMIFS(Quantity!$C493:$AH493,Quantity!$C$7:$AH$7,H$6,Quantity!$C$8:$AH$8,TRUE)</f>
        <v>0</v>
      </c>
      <c r="H492" s="24" cm="1">
        <f t="array" aca="1" ref="H492" ca="1">SUMIFS(CA!$C493:$AQ493,CA!$C$7:$AQ$7,H$6,CA!$C$8:$AQ$8,TRUE)</f>
        <v>0</v>
      </c>
      <c r="I492" s="23" cm="1">
        <f t="array" aca="1" ref="I492" ca="1">SUMIFS(Quantity!$C493:$AH493,Quantity!$C$7:$AH$7,J$6,Quantity!$C$8:$AH$8,TRUE)</f>
        <v>0</v>
      </c>
      <c r="J492" s="25" cm="1">
        <f t="array" aca="1" ref="J492" ca="1">SUMIFS(CA!$C493:$AQ493,CA!$C$7:$AQ$7,J$6,CA!$C$8:$AQ$8,TRUE)</f>
        <v>0</v>
      </c>
      <c r="K492" s="26" t="str" cm="1">
        <f t="array" ref="K492">IF(SUM(Quantity!O493:Z493)=0,"",SUM(Quantity!O493:Z493))</f>
        <v/>
      </c>
      <c r="L492" s="24" t="str" cm="1">
        <f t="array" ref="L492">IF(SUM(CA!O493:Z493)=0,"",SUM(CA!O493:Z493))</f>
        <v/>
      </c>
      <c r="M492" s="23" t="str" cm="1">
        <f t="array" ref="M492">IF(SUM(Quantity!C493:N493)=0,"",SUM(Quantity!C493:N493))</f>
        <v/>
      </c>
      <c r="N492" s="25" t="str" cm="1">
        <f t="array" ref="N492">IF(SUM(CA!C493:N493)=0,"",SUM(CA!C493:N493))</f>
        <v/>
      </c>
    </row>
    <row r="493" spans="1:14" x14ac:dyDescent="0.25">
      <c r="A493" s="1"/>
      <c r="B493" s="22" cm="1">
        <f t="array" ref="B493">Quantity!B494</f>
        <v>0</v>
      </c>
      <c r="C493" s="23" cm="1">
        <f t="array" ref="C493">Quantity!O494</f>
        <v>0</v>
      </c>
      <c r="D493" s="24" cm="1">
        <f t="array" ref="D493">CA!O494</f>
        <v>0</v>
      </c>
      <c r="E493" s="23" cm="1">
        <f t="array" ref="E493">Quantity!C494</f>
        <v>0</v>
      </c>
      <c r="F493" s="25" cm="1">
        <f t="array" ref="F493">CA!C494</f>
        <v>0</v>
      </c>
      <c r="G493" s="26" cm="1">
        <f t="array" aca="1" ref="G493" ca="1">SUMIFS(Quantity!$C494:$AH494,Quantity!$C$7:$AH$7,H$6,Quantity!$C$8:$AH$8,TRUE)</f>
        <v>0</v>
      </c>
      <c r="H493" s="24" cm="1">
        <f t="array" aca="1" ref="H493" ca="1">SUMIFS(CA!$C494:$AQ494,CA!$C$7:$AQ$7,H$6,CA!$C$8:$AQ$8,TRUE)</f>
        <v>0</v>
      </c>
      <c r="I493" s="23" cm="1">
        <f t="array" aca="1" ref="I493" ca="1">SUMIFS(Quantity!$C494:$AH494,Quantity!$C$7:$AH$7,J$6,Quantity!$C$8:$AH$8,TRUE)</f>
        <v>0</v>
      </c>
      <c r="J493" s="25" cm="1">
        <f t="array" aca="1" ref="J493" ca="1">SUMIFS(CA!$C494:$AQ494,CA!$C$7:$AQ$7,J$6,CA!$C$8:$AQ$8,TRUE)</f>
        <v>0</v>
      </c>
      <c r="K493" s="26" t="str" cm="1">
        <f t="array" ref="K493">IF(SUM(Quantity!O494:Z494)=0,"",SUM(Quantity!O494:Z494))</f>
        <v/>
      </c>
      <c r="L493" s="24" t="str" cm="1">
        <f t="array" ref="L493">IF(SUM(CA!O494:Z494)=0,"",SUM(CA!O494:Z494))</f>
        <v/>
      </c>
      <c r="M493" s="23" t="str" cm="1">
        <f t="array" ref="M493">IF(SUM(Quantity!C494:N494)=0,"",SUM(Quantity!C494:N494))</f>
        <v/>
      </c>
      <c r="N493" s="25" t="str" cm="1">
        <f t="array" ref="N493">IF(SUM(CA!C494:N494)=0,"",SUM(CA!C494:N494))</f>
        <v/>
      </c>
    </row>
    <row r="494" spans="1:14" x14ac:dyDescent="0.25">
      <c r="A494" s="1"/>
      <c r="B494" s="22" cm="1">
        <f t="array" ref="B494">Quantity!B495</f>
        <v>0</v>
      </c>
      <c r="C494" s="23" cm="1">
        <f t="array" ref="C494">Quantity!O495</f>
        <v>0</v>
      </c>
      <c r="D494" s="24" cm="1">
        <f t="array" ref="D494">CA!O495</f>
        <v>0</v>
      </c>
      <c r="E494" s="23" cm="1">
        <f t="array" ref="E494">Quantity!C495</f>
        <v>0</v>
      </c>
      <c r="F494" s="25" cm="1">
        <f t="array" ref="F494">CA!C495</f>
        <v>0</v>
      </c>
      <c r="G494" s="26" cm="1">
        <f t="array" aca="1" ref="G494" ca="1">SUMIFS(Quantity!$C495:$AH495,Quantity!$C$7:$AH$7,H$6,Quantity!$C$8:$AH$8,TRUE)</f>
        <v>0</v>
      </c>
      <c r="H494" s="24" cm="1">
        <f t="array" aca="1" ref="H494" ca="1">SUMIFS(CA!$C495:$AQ495,CA!$C$7:$AQ$7,H$6,CA!$C$8:$AQ$8,TRUE)</f>
        <v>0</v>
      </c>
      <c r="I494" s="23" cm="1">
        <f t="array" aca="1" ref="I494" ca="1">SUMIFS(Quantity!$C495:$AH495,Quantity!$C$7:$AH$7,J$6,Quantity!$C$8:$AH$8,TRUE)</f>
        <v>0</v>
      </c>
      <c r="J494" s="25" cm="1">
        <f t="array" aca="1" ref="J494" ca="1">SUMIFS(CA!$C495:$AQ495,CA!$C$7:$AQ$7,J$6,CA!$C$8:$AQ$8,TRUE)</f>
        <v>0</v>
      </c>
      <c r="K494" s="26" t="str" cm="1">
        <f t="array" ref="K494">IF(SUM(Quantity!O495:Z495)=0,"",SUM(Quantity!O495:Z495))</f>
        <v/>
      </c>
      <c r="L494" s="24" t="str" cm="1">
        <f t="array" ref="L494">IF(SUM(CA!O495:Z495)=0,"",SUM(CA!O495:Z495))</f>
        <v/>
      </c>
      <c r="M494" s="23" t="str" cm="1">
        <f t="array" ref="M494">IF(SUM(Quantity!C495:N495)=0,"",SUM(Quantity!C495:N495))</f>
        <v/>
      </c>
      <c r="N494" s="25" t="str" cm="1">
        <f t="array" ref="N494">IF(SUM(CA!C495:N495)=0,"",SUM(CA!C495:N495))</f>
        <v/>
      </c>
    </row>
    <row r="495" spans="1:14" x14ac:dyDescent="0.25">
      <c r="A495" s="1"/>
      <c r="B495" s="22" cm="1">
        <f t="array" ref="B495">Quantity!B496</f>
        <v>0</v>
      </c>
      <c r="C495" s="23" cm="1">
        <f t="array" ref="C495">Quantity!O496</f>
        <v>0</v>
      </c>
      <c r="D495" s="24" cm="1">
        <f t="array" ref="D495">CA!O496</f>
        <v>0</v>
      </c>
      <c r="E495" s="23" cm="1">
        <f t="array" ref="E495">Quantity!C496</f>
        <v>0</v>
      </c>
      <c r="F495" s="25" cm="1">
        <f t="array" ref="F495">CA!C496</f>
        <v>0</v>
      </c>
      <c r="G495" s="26" cm="1">
        <f t="array" aca="1" ref="G495" ca="1">SUMIFS(Quantity!$C496:$AH496,Quantity!$C$7:$AH$7,H$6,Quantity!$C$8:$AH$8,TRUE)</f>
        <v>0</v>
      </c>
      <c r="H495" s="24" cm="1">
        <f t="array" aca="1" ref="H495" ca="1">SUMIFS(CA!$C496:$AQ496,CA!$C$7:$AQ$7,H$6,CA!$C$8:$AQ$8,TRUE)</f>
        <v>0</v>
      </c>
      <c r="I495" s="23" cm="1">
        <f t="array" aca="1" ref="I495" ca="1">SUMIFS(Quantity!$C496:$AH496,Quantity!$C$7:$AH$7,J$6,Quantity!$C$8:$AH$8,TRUE)</f>
        <v>0</v>
      </c>
      <c r="J495" s="25" cm="1">
        <f t="array" aca="1" ref="J495" ca="1">SUMIFS(CA!$C496:$AQ496,CA!$C$7:$AQ$7,J$6,CA!$C$8:$AQ$8,TRUE)</f>
        <v>0</v>
      </c>
      <c r="K495" s="26" t="str" cm="1">
        <f t="array" ref="K495">IF(SUM(Quantity!O496:Z496)=0,"",SUM(Quantity!O496:Z496))</f>
        <v/>
      </c>
      <c r="L495" s="24" t="str" cm="1">
        <f t="array" ref="L495">IF(SUM(CA!O496:Z496)=0,"",SUM(CA!O496:Z496))</f>
        <v/>
      </c>
      <c r="M495" s="23" t="str" cm="1">
        <f t="array" ref="M495">IF(SUM(Quantity!C496:N496)=0,"",SUM(Quantity!C496:N496))</f>
        <v/>
      </c>
      <c r="N495" s="25" t="str" cm="1">
        <f t="array" ref="N495">IF(SUM(CA!C496:N496)=0,"",SUM(CA!C496:N496))</f>
        <v/>
      </c>
    </row>
    <row r="496" spans="1:14" x14ac:dyDescent="0.25">
      <c r="A496" s="1"/>
      <c r="B496" s="22" cm="1">
        <f t="array" ref="B496">Quantity!B497</f>
        <v>0</v>
      </c>
      <c r="C496" s="23" cm="1">
        <f t="array" ref="C496">Quantity!O497</f>
        <v>0</v>
      </c>
      <c r="D496" s="24" cm="1">
        <f t="array" ref="D496">CA!O497</f>
        <v>0</v>
      </c>
      <c r="E496" s="23" cm="1">
        <f t="array" ref="E496">Quantity!C497</f>
        <v>0</v>
      </c>
      <c r="F496" s="25" cm="1">
        <f t="array" ref="F496">CA!C497</f>
        <v>0</v>
      </c>
      <c r="G496" s="26" cm="1">
        <f t="array" aca="1" ref="G496" ca="1">SUMIFS(Quantity!$C497:$AH497,Quantity!$C$7:$AH$7,H$6,Quantity!$C$8:$AH$8,TRUE)</f>
        <v>0</v>
      </c>
      <c r="H496" s="24" cm="1">
        <f t="array" aca="1" ref="H496" ca="1">SUMIFS(CA!$C497:$AQ497,CA!$C$7:$AQ$7,H$6,CA!$C$8:$AQ$8,TRUE)</f>
        <v>0</v>
      </c>
      <c r="I496" s="23" cm="1">
        <f t="array" aca="1" ref="I496" ca="1">SUMIFS(Quantity!$C497:$AH497,Quantity!$C$7:$AH$7,J$6,Quantity!$C$8:$AH$8,TRUE)</f>
        <v>0</v>
      </c>
      <c r="J496" s="25" cm="1">
        <f t="array" aca="1" ref="J496" ca="1">SUMIFS(CA!$C497:$AQ497,CA!$C$7:$AQ$7,J$6,CA!$C$8:$AQ$8,TRUE)</f>
        <v>0</v>
      </c>
      <c r="K496" s="26" t="str" cm="1">
        <f t="array" ref="K496">IF(SUM(Quantity!O497:Z497)=0,"",SUM(Quantity!O497:Z497))</f>
        <v/>
      </c>
      <c r="L496" s="24" t="str" cm="1">
        <f t="array" ref="L496">IF(SUM(CA!O497:Z497)=0,"",SUM(CA!O497:Z497))</f>
        <v/>
      </c>
      <c r="M496" s="23" t="str" cm="1">
        <f t="array" ref="M496">IF(SUM(Quantity!C497:N497)=0,"",SUM(Quantity!C497:N497))</f>
        <v/>
      </c>
      <c r="N496" s="25" t="str" cm="1">
        <f t="array" ref="N496">IF(SUM(CA!C497:N497)=0,"",SUM(CA!C497:N497))</f>
        <v/>
      </c>
    </row>
    <row r="497" spans="1:14" x14ac:dyDescent="0.25">
      <c r="A497" s="1"/>
      <c r="B497" s="22" cm="1">
        <f t="array" ref="B497">Quantity!B498</f>
        <v>0</v>
      </c>
      <c r="C497" s="23" cm="1">
        <f t="array" ref="C497">Quantity!O498</f>
        <v>0</v>
      </c>
      <c r="D497" s="24" cm="1">
        <f t="array" ref="D497">CA!O498</f>
        <v>0</v>
      </c>
      <c r="E497" s="23" cm="1">
        <f t="array" ref="E497">Quantity!C498</f>
        <v>0</v>
      </c>
      <c r="F497" s="25" cm="1">
        <f t="array" ref="F497">CA!C498</f>
        <v>0</v>
      </c>
      <c r="G497" s="26" cm="1">
        <f t="array" aca="1" ref="G497" ca="1">SUMIFS(Quantity!$C498:$AH498,Quantity!$C$7:$AH$7,H$6,Quantity!$C$8:$AH$8,TRUE)</f>
        <v>0</v>
      </c>
      <c r="H497" s="24" cm="1">
        <f t="array" aca="1" ref="H497" ca="1">SUMIFS(CA!$C498:$AQ498,CA!$C$7:$AQ$7,H$6,CA!$C$8:$AQ$8,TRUE)</f>
        <v>0</v>
      </c>
      <c r="I497" s="23" cm="1">
        <f t="array" aca="1" ref="I497" ca="1">SUMIFS(Quantity!$C498:$AH498,Quantity!$C$7:$AH$7,J$6,Quantity!$C$8:$AH$8,TRUE)</f>
        <v>0</v>
      </c>
      <c r="J497" s="25" cm="1">
        <f t="array" aca="1" ref="J497" ca="1">SUMIFS(CA!$C498:$AQ498,CA!$C$7:$AQ$7,J$6,CA!$C$8:$AQ$8,TRUE)</f>
        <v>0</v>
      </c>
      <c r="K497" s="26" t="str" cm="1">
        <f t="array" ref="K497">IF(SUM(Quantity!O498:Z498)=0,"",SUM(Quantity!O498:Z498))</f>
        <v/>
      </c>
      <c r="L497" s="24" t="str" cm="1">
        <f t="array" ref="L497">IF(SUM(CA!O498:Z498)=0,"",SUM(CA!O498:Z498))</f>
        <v/>
      </c>
      <c r="M497" s="23" t="str" cm="1">
        <f t="array" ref="M497">IF(SUM(Quantity!C498:N498)=0,"",SUM(Quantity!C498:N498))</f>
        <v/>
      </c>
      <c r="N497" s="25" t="str" cm="1">
        <f t="array" ref="N497">IF(SUM(CA!C498:N498)=0,"",SUM(CA!C498:N498))</f>
        <v/>
      </c>
    </row>
    <row r="498" spans="1:14" x14ac:dyDescent="0.25">
      <c r="A498" s="1"/>
      <c r="B498" s="22" cm="1">
        <f t="array" ref="B498">Quantity!B499</f>
        <v>0</v>
      </c>
      <c r="C498" s="23" cm="1">
        <f t="array" ref="C498">Quantity!O499</f>
        <v>0</v>
      </c>
      <c r="D498" s="24" cm="1">
        <f t="array" ref="D498">CA!O499</f>
        <v>0</v>
      </c>
      <c r="E498" s="23" cm="1">
        <f t="array" ref="E498">Quantity!C499</f>
        <v>0</v>
      </c>
      <c r="F498" s="25" cm="1">
        <f t="array" ref="F498">CA!C499</f>
        <v>0</v>
      </c>
      <c r="G498" s="26" cm="1">
        <f t="array" aca="1" ref="G498" ca="1">SUMIFS(Quantity!$C499:$AH499,Quantity!$C$7:$AH$7,H$6,Quantity!$C$8:$AH$8,TRUE)</f>
        <v>0</v>
      </c>
      <c r="H498" s="24" cm="1">
        <f t="array" aca="1" ref="H498" ca="1">SUMIFS(CA!$C499:$AQ499,CA!$C$7:$AQ$7,H$6,CA!$C$8:$AQ$8,TRUE)</f>
        <v>0</v>
      </c>
      <c r="I498" s="23" cm="1">
        <f t="array" aca="1" ref="I498" ca="1">SUMIFS(Quantity!$C499:$AH499,Quantity!$C$7:$AH$7,J$6,Quantity!$C$8:$AH$8,TRUE)</f>
        <v>0</v>
      </c>
      <c r="J498" s="25" cm="1">
        <f t="array" aca="1" ref="J498" ca="1">SUMIFS(CA!$C499:$AQ499,CA!$C$7:$AQ$7,J$6,CA!$C$8:$AQ$8,TRUE)</f>
        <v>0</v>
      </c>
      <c r="K498" s="26" t="str" cm="1">
        <f t="array" ref="K498">IF(SUM(Quantity!O499:Z499)=0,"",SUM(Quantity!O499:Z499))</f>
        <v/>
      </c>
      <c r="L498" s="24" t="str" cm="1">
        <f t="array" ref="L498">IF(SUM(CA!O499:Z499)=0,"",SUM(CA!O499:Z499))</f>
        <v/>
      </c>
      <c r="M498" s="23" t="str" cm="1">
        <f t="array" ref="M498">IF(SUM(Quantity!C499:N499)=0,"",SUM(Quantity!C499:N499))</f>
        <v/>
      </c>
      <c r="N498" s="25" t="str" cm="1">
        <f t="array" ref="N498">IF(SUM(CA!C499:N499)=0,"",SUM(CA!C499:N499))</f>
        <v/>
      </c>
    </row>
    <row r="499" spans="1:14" x14ac:dyDescent="0.25">
      <c r="A499" s="1"/>
      <c r="B499" s="22" cm="1">
        <f t="array" ref="B499">Quantity!B500</f>
        <v>0</v>
      </c>
      <c r="C499" s="23" cm="1">
        <f t="array" ref="C499">Quantity!O500</f>
        <v>0</v>
      </c>
      <c r="D499" s="24" cm="1">
        <f t="array" ref="D499">CA!O500</f>
        <v>0</v>
      </c>
      <c r="E499" s="23" cm="1">
        <f t="array" ref="E499">Quantity!C500</f>
        <v>0</v>
      </c>
      <c r="F499" s="25" cm="1">
        <f t="array" ref="F499">CA!C500</f>
        <v>0</v>
      </c>
      <c r="G499" s="26" cm="1">
        <f t="array" aca="1" ref="G499" ca="1">SUMIFS(Quantity!$C500:$AH500,Quantity!$C$7:$AH$7,H$6,Quantity!$C$8:$AH$8,TRUE)</f>
        <v>0</v>
      </c>
      <c r="H499" s="24" cm="1">
        <f t="array" aca="1" ref="H499" ca="1">SUMIFS(CA!$C500:$AQ500,CA!$C$7:$AQ$7,H$6,CA!$C$8:$AQ$8,TRUE)</f>
        <v>0</v>
      </c>
      <c r="I499" s="23" cm="1">
        <f t="array" aca="1" ref="I499" ca="1">SUMIFS(Quantity!$C500:$AH500,Quantity!$C$7:$AH$7,J$6,Quantity!$C$8:$AH$8,TRUE)</f>
        <v>0</v>
      </c>
      <c r="J499" s="25" cm="1">
        <f t="array" aca="1" ref="J499" ca="1">SUMIFS(CA!$C500:$AQ500,CA!$C$7:$AQ$7,J$6,CA!$C$8:$AQ$8,TRUE)</f>
        <v>0</v>
      </c>
      <c r="K499" s="26" t="str" cm="1">
        <f t="array" ref="K499">IF(SUM(Quantity!O500:Z500)=0,"",SUM(Quantity!O500:Z500))</f>
        <v/>
      </c>
      <c r="L499" s="24" t="str" cm="1">
        <f t="array" ref="L499">IF(SUM(CA!O500:Z500)=0,"",SUM(CA!O500:Z500))</f>
        <v/>
      </c>
      <c r="M499" s="23" t="str" cm="1">
        <f t="array" ref="M499">IF(SUM(Quantity!C500:N500)=0,"",SUM(Quantity!C500:N500))</f>
        <v/>
      </c>
      <c r="N499" s="25" t="str" cm="1">
        <f t="array" ref="N499">IF(SUM(CA!C500:N500)=0,"",SUM(CA!C500:N500))</f>
        <v/>
      </c>
    </row>
    <row r="500" spans="1:14" x14ac:dyDescent="0.25">
      <c r="A500" s="1"/>
      <c r="B500" s="22" cm="1">
        <f t="array" ref="B500">Quantity!B501</f>
        <v>0</v>
      </c>
      <c r="C500" s="23" cm="1">
        <f t="array" ref="C500">Quantity!O501</f>
        <v>0</v>
      </c>
      <c r="D500" s="24" cm="1">
        <f t="array" ref="D500">CA!O501</f>
        <v>0</v>
      </c>
      <c r="E500" s="23" cm="1">
        <f t="array" ref="E500">Quantity!C501</f>
        <v>0</v>
      </c>
      <c r="F500" s="25" cm="1">
        <f t="array" ref="F500">CA!C501</f>
        <v>0</v>
      </c>
      <c r="G500" s="26" cm="1">
        <f t="array" aca="1" ref="G500" ca="1">SUMIFS(Quantity!$C501:$AH501,Quantity!$C$7:$AH$7,H$6,Quantity!$C$8:$AH$8,TRUE)</f>
        <v>0</v>
      </c>
      <c r="H500" s="24" cm="1">
        <f t="array" aca="1" ref="H500" ca="1">SUMIFS(CA!$C501:$AQ501,CA!$C$7:$AQ$7,H$6,CA!$C$8:$AQ$8,TRUE)</f>
        <v>0</v>
      </c>
      <c r="I500" s="23" cm="1">
        <f t="array" aca="1" ref="I500" ca="1">SUMIFS(Quantity!$C501:$AH501,Quantity!$C$7:$AH$7,J$6,Quantity!$C$8:$AH$8,TRUE)</f>
        <v>0</v>
      </c>
      <c r="J500" s="25" cm="1">
        <f t="array" aca="1" ref="J500" ca="1">SUMIFS(CA!$C501:$AQ501,CA!$C$7:$AQ$7,J$6,CA!$C$8:$AQ$8,TRUE)</f>
        <v>0</v>
      </c>
      <c r="K500" s="26" t="str" cm="1">
        <f t="array" ref="K500">IF(SUM(Quantity!O501:Z501)=0,"",SUM(Quantity!O501:Z501))</f>
        <v/>
      </c>
      <c r="L500" s="24" t="str" cm="1">
        <f t="array" ref="L500">IF(SUM(CA!O501:Z501)=0,"",SUM(CA!O501:Z501))</f>
        <v/>
      </c>
      <c r="M500" s="23" t="str" cm="1">
        <f t="array" ref="M500">IF(SUM(Quantity!C501:N501)=0,"",SUM(Quantity!C501:N501))</f>
        <v/>
      </c>
      <c r="N500" s="25" t="str" cm="1">
        <f t="array" ref="N500">IF(SUM(CA!C501:N501)=0,"",SUM(CA!C501:N501))</f>
        <v/>
      </c>
    </row>
    <row r="501" spans="1:14" x14ac:dyDescent="0.25">
      <c r="A501" s="1"/>
      <c r="B501" s="22" cm="1">
        <f t="array" ref="B501">Quantity!B502</f>
        <v>0</v>
      </c>
      <c r="C501" s="23" cm="1">
        <f t="array" ref="C501">Quantity!O502</f>
        <v>0</v>
      </c>
      <c r="D501" s="24" cm="1">
        <f t="array" ref="D501">CA!O502</f>
        <v>0</v>
      </c>
      <c r="E501" s="23" cm="1">
        <f t="array" ref="E501">Quantity!C502</f>
        <v>0</v>
      </c>
      <c r="F501" s="25" cm="1">
        <f t="array" ref="F501">CA!C502</f>
        <v>0</v>
      </c>
      <c r="G501" s="26" cm="1">
        <f t="array" aca="1" ref="G501" ca="1">SUMIFS(Quantity!$C502:$AH502,Quantity!$C$7:$AH$7,H$6,Quantity!$C$8:$AH$8,TRUE)</f>
        <v>0</v>
      </c>
      <c r="H501" s="24" cm="1">
        <f t="array" aca="1" ref="H501" ca="1">SUMIFS(CA!$C502:$AQ502,CA!$C$7:$AQ$7,H$6,CA!$C$8:$AQ$8,TRUE)</f>
        <v>0</v>
      </c>
      <c r="I501" s="23" cm="1">
        <f t="array" aca="1" ref="I501" ca="1">SUMIFS(Quantity!$C502:$AH502,Quantity!$C$7:$AH$7,J$6,Quantity!$C$8:$AH$8,TRUE)</f>
        <v>0</v>
      </c>
      <c r="J501" s="25" cm="1">
        <f t="array" aca="1" ref="J501" ca="1">SUMIFS(CA!$C502:$AQ502,CA!$C$7:$AQ$7,J$6,CA!$C$8:$AQ$8,TRUE)</f>
        <v>0</v>
      </c>
      <c r="K501" s="26" t="str" cm="1">
        <f t="array" ref="K501">IF(SUM(Quantity!O502:Z502)=0,"",SUM(Quantity!O502:Z502))</f>
        <v/>
      </c>
      <c r="L501" s="24" t="str" cm="1">
        <f t="array" ref="L501">IF(SUM(CA!O502:Z502)=0,"",SUM(CA!O502:Z502))</f>
        <v/>
      </c>
      <c r="M501" s="23" t="str" cm="1">
        <f t="array" ref="M501">IF(SUM(Quantity!C502:N502)=0,"",SUM(Quantity!C502:N502))</f>
        <v/>
      </c>
      <c r="N501" s="25" t="str" cm="1">
        <f t="array" ref="N501">IF(SUM(CA!C502:N502)=0,"",SUM(CA!C502:N502))</f>
        <v/>
      </c>
    </row>
    <row r="502" spans="1:14" x14ac:dyDescent="0.25">
      <c r="A502" s="1"/>
      <c r="B502" s="22" cm="1">
        <f t="array" ref="B502">Quantity!B503</f>
        <v>0</v>
      </c>
      <c r="C502" s="23" cm="1">
        <f t="array" ref="C502">Quantity!O503</f>
        <v>0</v>
      </c>
      <c r="D502" s="24" cm="1">
        <f t="array" ref="D502">CA!O503</f>
        <v>0</v>
      </c>
      <c r="E502" s="23" cm="1">
        <f t="array" ref="E502">Quantity!C503</f>
        <v>0</v>
      </c>
      <c r="F502" s="25" cm="1">
        <f t="array" ref="F502">CA!C503</f>
        <v>0</v>
      </c>
      <c r="G502" s="26" cm="1">
        <f t="array" aca="1" ref="G502" ca="1">SUMIFS(Quantity!$C503:$AH503,Quantity!$C$7:$AH$7,H$6,Quantity!$C$8:$AH$8,TRUE)</f>
        <v>0</v>
      </c>
      <c r="H502" s="24" cm="1">
        <f t="array" aca="1" ref="H502" ca="1">SUMIFS(CA!$C503:$AQ503,CA!$C$7:$AQ$7,H$6,CA!$C$8:$AQ$8,TRUE)</f>
        <v>0</v>
      </c>
      <c r="I502" s="23" cm="1">
        <f t="array" aca="1" ref="I502" ca="1">SUMIFS(Quantity!$C503:$AH503,Quantity!$C$7:$AH$7,J$6,Quantity!$C$8:$AH$8,TRUE)</f>
        <v>0</v>
      </c>
      <c r="J502" s="25" cm="1">
        <f t="array" aca="1" ref="J502" ca="1">SUMIFS(CA!$C503:$AQ503,CA!$C$7:$AQ$7,J$6,CA!$C$8:$AQ$8,TRUE)</f>
        <v>0</v>
      </c>
      <c r="K502" s="26" t="str" cm="1">
        <f t="array" ref="K502">IF(SUM(Quantity!O503:Z503)=0,"",SUM(Quantity!O503:Z503))</f>
        <v/>
      </c>
      <c r="L502" s="24" t="str" cm="1">
        <f t="array" ref="L502">IF(SUM(CA!O503:Z503)=0,"",SUM(CA!O503:Z503))</f>
        <v/>
      </c>
      <c r="M502" s="23" t="str" cm="1">
        <f t="array" ref="M502">IF(SUM(Quantity!C503:N503)=0,"",SUM(Quantity!C503:N503))</f>
        <v/>
      </c>
      <c r="N502" s="25" t="str" cm="1">
        <f t="array" ref="N502">IF(SUM(CA!C503:N503)=0,"",SUM(CA!C503:N503))</f>
        <v/>
      </c>
    </row>
    <row r="503" spans="1:14" x14ac:dyDescent="0.25">
      <c r="A503" s="1"/>
      <c r="B503" s="22" cm="1">
        <f t="array" ref="B503">Quantity!B504</f>
        <v>0</v>
      </c>
      <c r="C503" s="23" cm="1">
        <f t="array" ref="C503">Quantity!O504</f>
        <v>0</v>
      </c>
      <c r="D503" s="24" cm="1">
        <f t="array" ref="D503">CA!O504</f>
        <v>0</v>
      </c>
      <c r="E503" s="23" cm="1">
        <f t="array" ref="E503">Quantity!C504</f>
        <v>0</v>
      </c>
      <c r="F503" s="25" cm="1">
        <f t="array" ref="F503">CA!C504</f>
        <v>0</v>
      </c>
      <c r="G503" s="26" cm="1">
        <f t="array" aca="1" ref="G503" ca="1">SUMIFS(Quantity!$C504:$AH504,Quantity!$C$7:$AH$7,H$6,Quantity!$C$8:$AH$8,TRUE)</f>
        <v>0</v>
      </c>
      <c r="H503" s="24" cm="1">
        <f t="array" aca="1" ref="H503" ca="1">SUMIFS(CA!$C504:$AQ504,CA!$C$7:$AQ$7,H$6,CA!$C$8:$AQ$8,TRUE)</f>
        <v>0</v>
      </c>
      <c r="I503" s="23" cm="1">
        <f t="array" aca="1" ref="I503" ca="1">SUMIFS(Quantity!$C504:$AH504,Quantity!$C$7:$AH$7,J$6,Quantity!$C$8:$AH$8,TRUE)</f>
        <v>0</v>
      </c>
      <c r="J503" s="25" cm="1">
        <f t="array" aca="1" ref="J503" ca="1">SUMIFS(CA!$C504:$AQ504,CA!$C$7:$AQ$7,J$6,CA!$C$8:$AQ$8,TRUE)</f>
        <v>0</v>
      </c>
      <c r="K503" s="26" t="str" cm="1">
        <f t="array" ref="K503">IF(SUM(Quantity!O504:Z504)=0,"",SUM(Quantity!O504:Z504))</f>
        <v/>
      </c>
      <c r="L503" s="24" t="str" cm="1">
        <f t="array" ref="L503">IF(SUM(CA!O504:Z504)=0,"",SUM(CA!O504:Z504))</f>
        <v/>
      </c>
      <c r="M503" s="23" t="str" cm="1">
        <f t="array" ref="M503">IF(SUM(Quantity!C504:N504)=0,"",SUM(Quantity!C504:N504))</f>
        <v/>
      </c>
      <c r="N503" s="25" t="str" cm="1">
        <f t="array" ref="N503">IF(SUM(CA!C504:N504)=0,"",SUM(CA!C504:N504))</f>
        <v/>
      </c>
    </row>
    <row r="504" spans="1:14" x14ac:dyDescent="0.25">
      <c r="A504" s="1"/>
      <c r="B504" s="22" cm="1">
        <f t="array" ref="B504">Quantity!B505</f>
        <v>0</v>
      </c>
      <c r="C504" s="23" cm="1">
        <f t="array" ref="C504">Quantity!O505</f>
        <v>0</v>
      </c>
      <c r="D504" s="24" cm="1">
        <f t="array" ref="D504">CA!O505</f>
        <v>0</v>
      </c>
      <c r="E504" s="23" cm="1">
        <f t="array" ref="E504">Quantity!C505</f>
        <v>0</v>
      </c>
      <c r="F504" s="25" cm="1">
        <f t="array" ref="F504">CA!C505</f>
        <v>0</v>
      </c>
      <c r="G504" s="26" cm="1">
        <f t="array" aca="1" ref="G504" ca="1">SUMIFS(Quantity!$C505:$AH505,Quantity!$C$7:$AH$7,H$6,Quantity!$C$8:$AH$8,TRUE)</f>
        <v>0</v>
      </c>
      <c r="H504" s="24" cm="1">
        <f t="array" aca="1" ref="H504" ca="1">SUMIFS(CA!$C505:$AQ505,CA!$C$7:$AQ$7,H$6,CA!$C$8:$AQ$8,TRUE)</f>
        <v>0</v>
      </c>
      <c r="I504" s="23" cm="1">
        <f t="array" aca="1" ref="I504" ca="1">SUMIFS(Quantity!$C505:$AH505,Quantity!$C$7:$AH$7,J$6,Quantity!$C$8:$AH$8,TRUE)</f>
        <v>0</v>
      </c>
      <c r="J504" s="25" cm="1">
        <f t="array" aca="1" ref="J504" ca="1">SUMIFS(CA!$C505:$AQ505,CA!$C$7:$AQ$7,J$6,CA!$C$8:$AQ$8,TRUE)</f>
        <v>0</v>
      </c>
      <c r="K504" s="26" t="str" cm="1">
        <f t="array" ref="K504">IF(SUM(Quantity!O505:Z505)=0,"",SUM(Quantity!O505:Z505))</f>
        <v/>
      </c>
      <c r="L504" s="24" t="str" cm="1">
        <f t="array" ref="L504">IF(SUM(CA!O505:Z505)=0,"",SUM(CA!O505:Z505))</f>
        <v/>
      </c>
      <c r="M504" s="23" t="str" cm="1">
        <f t="array" ref="M504">IF(SUM(Quantity!C505:N505)=0,"",SUM(Quantity!C505:N505))</f>
        <v/>
      </c>
      <c r="N504" s="25" t="str" cm="1">
        <f t="array" ref="N504">IF(SUM(CA!C505:N505)=0,"",SUM(CA!C505:N505))</f>
        <v/>
      </c>
    </row>
    <row r="505" spans="1:14" x14ac:dyDescent="0.25">
      <c r="A505" s="1"/>
      <c r="B505" s="22" cm="1">
        <f t="array" ref="B505">Quantity!B506</f>
        <v>0</v>
      </c>
      <c r="C505" s="23" cm="1">
        <f t="array" ref="C505">Quantity!O506</f>
        <v>0</v>
      </c>
      <c r="D505" s="24" cm="1">
        <f t="array" ref="D505">CA!O506</f>
        <v>0</v>
      </c>
      <c r="E505" s="23" cm="1">
        <f t="array" ref="E505">Quantity!C506</f>
        <v>0</v>
      </c>
      <c r="F505" s="25" cm="1">
        <f t="array" ref="F505">CA!C506</f>
        <v>0</v>
      </c>
      <c r="G505" s="26" cm="1">
        <f t="array" aca="1" ref="G505" ca="1">SUMIFS(Quantity!$C506:$AH506,Quantity!$C$7:$AH$7,H$6,Quantity!$C$8:$AH$8,TRUE)</f>
        <v>0</v>
      </c>
      <c r="H505" s="24" cm="1">
        <f t="array" aca="1" ref="H505" ca="1">SUMIFS(CA!$C506:$AQ506,CA!$C$7:$AQ$7,H$6,CA!$C$8:$AQ$8,TRUE)</f>
        <v>0</v>
      </c>
      <c r="I505" s="23" cm="1">
        <f t="array" aca="1" ref="I505" ca="1">SUMIFS(Quantity!$C506:$AH506,Quantity!$C$7:$AH$7,J$6,Quantity!$C$8:$AH$8,TRUE)</f>
        <v>0</v>
      </c>
      <c r="J505" s="25" cm="1">
        <f t="array" aca="1" ref="J505" ca="1">SUMIFS(CA!$C506:$AQ506,CA!$C$7:$AQ$7,J$6,CA!$C$8:$AQ$8,TRUE)</f>
        <v>0</v>
      </c>
      <c r="K505" s="26" t="str" cm="1">
        <f t="array" ref="K505">IF(SUM(Quantity!O506:Z506)=0,"",SUM(Quantity!O506:Z506))</f>
        <v/>
      </c>
      <c r="L505" s="24" t="str" cm="1">
        <f t="array" ref="L505">IF(SUM(CA!O506:Z506)=0,"",SUM(CA!O506:Z506))</f>
        <v/>
      </c>
      <c r="M505" s="23" t="str" cm="1">
        <f t="array" ref="M505">IF(SUM(Quantity!C506:N506)=0,"",SUM(Quantity!C506:N506))</f>
        <v/>
      </c>
      <c r="N505" s="25" t="str" cm="1">
        <f t="array" ref="N505">IF(SUM(CA!C506:N506)=0,"",SUM(CA!C506:N506))</f>
        <v/>
      </c>
    </row>
    <row r="506" spans="1:14" x14ac:dyDescent="0.25">
      <c r="A506" s="1"/>
      <c r="B506" s="22" cm="1">
        <f t="array" ref="B506">Quantity!B507</f>
        <v>0</v>
      </c>
      <c r="C506" s="23" cm="1">
        <f t="array" ref="C506">Quantity!O507</f>
        <v>0</v>
      </c>
      <c r="D506" s="24" cm="1">
        <f t="array" ref="D506">CA!O507</f>
        <v>0</v>
      </c>
      <c r="E506" s="23" cm="1">
        <f t="array" ref="E506">Quantity!C507</f>
        <v>0</v>
      </c>
      <c r="F506" s="25" cm="1">
        <f t="array" ref="F506">CA!C507</f>
        <v>0</v>
      </c>
      <c r="G506" s="26" cm="1">
        <f t="array" aca="1" ref="G506" ca="1">SUMIFS(Quantity!$C507:$AH507,Quantity!$C$7:$AH$7,H$6,Quantity!$C$8:$AH$8,TRUE)</f>
        <v>0</v>
      </c>
      <c r="H506" s="24" cm="1">
        <f t="array" aca="1" ref="H506" ca="1">SUMIFS(CA!$C507:$AQ507,CA!$C$7:$AQ$7,H$6,CA!$C$8:$AQ$8,TRUE)</f>
        <v>0</v>
      </c>
      <c r="I506" s="23" cm="1">
        <f t="array" aca="1" ref="I506" ca="1">SUMIFS(Quantity!$C507:$AH507,Quantity!$C$7:$AH$7,J$6,Quantity!$C$8:$AH$8,TRUE)</f>
        <v>0</v>
      </c>
      <c r="J506" s="25" cm="1">
        <f t="array" aca="1" ref="J506" ca="1">SUMIFS(CA!$C507:$AQ507,CA!$C$7:$AQ$7,J$6,CA!$C$8:$AQ$8,TRUE)</f>
        <v>0</v>
      </c>
      <c r="K506" s="26" t="str" cm="1">
        <f t="array" ref="K506">IF(SUM(Quantity!O507:Z507)=0,"",SUM(Quantity!O507:Z507))</f>
        <v/>
      </c>
      <c r="L506" s="24" t="str" cm="1">
        <f t="array" ref="L506">IF(SUM(CA!O507:Z507)=0,"",SUM(CA!O507:Z507))</f>
        <v/>
      </c>
      <c r="M506" s="23" t="str" cm="1">
        <f t="array" ref="M506">IF(SUM(Quantity!C507:N507)=0,"",SUM(Quantity!C507:N507))</f>
        <v/>
      </c>
      <c r="N506" s="25" t="str" cm="1">
        <f t="array" ref="N506">IF(SUM(CA!C507:N507)=0,"",SUM(CA!C507:N507))</f>
        <v/>
      </c>
    </row>
    <row r="507" spans="1:14" x14ac:dyDescent="0.25">
      <c r="A507" s="1"/>
      <c r="B507" s="22" cm="1">
        <f t="array" ref="B507">Quantity!B508</f>
        <v>0</v>
      </c>
      <c r="C507" s="23" cm="1">
        <f t="array" ref="C507">Quantity!O508</f>
        <v>0</v>
      </c>
      <c r="D507" s="24" cm="1">
        <f t="array" ref="D507">CA!O508</f>
        <v>0</v>
      </c>
      <c r="E507" s="23" cm="1">
        <f t="array" ref="E507">Quantity!C508</f>
        <v>0</v>
      </c>
      <c r="F507" s="25" cm="1">
        <f t="array" ref="F507">CA!C508</f>
        <v>0</v>
      </c>
      <c r="G507" s="26" cm="1">
        <f t="array" aca="1" ref="G507" ca="1">SUMIFS(Quantity!$C508:$AH508,Quantity!$C$7:$AH$7,H$6,Quantity!$C$8:$AH$8,TRUE)</f>
        <v>0</v>
      </c>
      <c r="H507" s="24" cm="1">
        <f t="array" aca="1" ref="H507" ca="1">SUMIFS(CA!$C508:$AQ508,CA!$C$7:$AQ$7,H$6,CA!$C$8:$AQ$8,TRUE)</f>
        <v>0</v>
      </c>
      <c r="I507" s="23" cm="1">
        <f t="array" aca="1" ref="I507" ca="1">SUMIFS(Quantity!$C508:$AH508,Quantity!$C$7:$AH$7,J$6,Quantity!$C$8:$AH$8,TRUE)</f>
        <v>0</v>
      </c>
      <c r="J507" s="25" cm="1">
        <f t="array" aca="1" ref="J507" ca="1">SUMIFS(CA!$C508:$AQ508,CA!$C$7:$AQ$7,J$6,CA!$C$8:$AQ$8,TRUE)</f>
        <v>0</v>
      </c>
      <c r="K507" s="26" t="str" cm="1">
        <f t="array" ref="K507">IF(SUM(Quantity!O508:Z508)=0,"",SUM(Quantity!O508:Z508))</f>
        <v/>
      </c>
      <c r="L507" s="24" t="str" cm="1">
        <f t="array" ref="L507">IF(SUM(CA!O508:Z508)=0,"",SUM(CA!O508:Z508))</f>
        <v/>
      </c>
      <c r="M507" s="23" t="str" cm="1">
        <f t="array" ref="M507">IF(SUM(Quantity!C508:N508)=0,"",SUM(Quantity!C508:N508))</f>
        <v/>
      </c>
      <c r="N507" s="25" t="str" cm="1">
        <f t="array" ref="N507">IF(SUM(CA!C508:N508)=0,"",SUM(CA!C508:N508))</f>
        <v/>
      </c>
    </row>
    <row r="508" spans="1:14" x14ac:dyDescent="0.25">
      <c r="A508" s="1"/>
      <c r="B508" s="22" cm="1">
        <f t="array" ref="B508">Quantity!B509</f>
        <v>0</v>
      </c>
      <c r="C508" s="23" cm="1">
        <f t="array" ref="C508">Quantity!O509</f>
        <v>0</v>
      </c>
      <c r="D508" s="24" cm="1">
        <f t="array" ref="D508">CA!O509</f>
        <v>0</v>
      </c>
      <c r="E508" s="23" cm="1">
        <f t="array" ref="E508">Quantity!C509</f>
        <v>0</v>
      </c>
      <c r="F508" s="25" cm="1">
        <f t="array" ref="F508">CA!C509</f>
        <v>0</v>
      </c>
      <c r="G508" s="26" cm="1">
        <f t="array" aca="1" ref="G508" ca="1">SUMIFS(Quantity!$C509:$AH509,Quantity!$C$7:$AH$7,H$6,Quantity!$C$8:$AH$8,TRUE)</f>
        <v>0</v>
      </c>
      <c r="H508" s="24" cm="1">
        <f t="array" aca="1" ref="H508" ca="1">SUMIFS(CA!$C509:$AQ509,CA!$C$7:$AQ$7,H$6,CA!$C$8:$AQ$8,TRUE)</f>
        <v>0</v>
      </c>
      <c r="I508" s="23" cm="1">
        <f t="array" aca="1" ref="I508" ca="1">SUMIFS(Quantity!$C509:$AH509,Quantity!$C$7:$AH$7,J$6,Quantity!$C$8:$AH$8,TRUE)</f>
        <v>0</v>
      </c>
      <c r="J508" s="25" cm="1">
        <f t="array" aca="1" ref="J508" ca="1">SUMIFS(CA!$C509:$AQ509,CA!$C$7:$AQ$7,J$6,CA!$C$8:$AQ$8,TRUE)</f>
        <v>0</v>
      </c>
      <c r="K508" s="26" t="str" cm="1">
        <f t="array" ref="K508">IF(SUM(Quantity!O509:Z509)=0,"",SUM(Quantity!O509:Z509))</f>
        <v/>
      </c>
      <c r="L508" s="24" t="str" cm="1">
        <f t="array" ref="L508">IF(SUM(CA!O509:Z509)=0,"",SUM(CA!O509:Z509))</f>
        <v/>
      </c>
      <c r="M508" s="23" t="str" cm="1">
        <f t="array" ref="M508">IF(SUM(Quantity!C509:N509)=0,"",SUM(Quantity!C509:N509))</f>
        <v/>
      </c>
      <c r="N508" s="25" t="str" cm="1">
        <f t="array" ref="N508">IF(SUM(CA!C509:N509)=0,"",SUM(CA!C509:N509))</f>
        <v/>
      </c>
    </row>
    <row r="509" spans="1:14" x14ac:dyDescent="0.25">
      <c r="A509" s="1"/>
      <c r="B509" s="22" cm="1">
        <f t="array" ref="B509">Quantity!B510</f>
        <v>0</v>
      </c>
      <c r="C509" s="23" cm="1">
        <f t="array" ref="C509">Quantity!O510</f>
        <v>0</v>
      </c>
      <c r="D509" s="24" cm="1">
        <f t="array" ref="D509">CA!O510</f>
        <v>0</v>
      </c>
      <c r="E509" s="23" cm="1">
        <f t="array" ref="E509">Quantity!C510</f>
        <v>0</v>
      </c>
      <c r="F509" s="25" cm="1">
        <f t="array" ref="F509">CA!C510</f>
        <v>0</v>
      </c>
      <c r="G509" s="26" cm="1">
        <f t="array" aca="1" ref="G509" ca="1">SUMIFS(Quantity!$C510:$AH510,Quantity!$C$7:$AH$7,H$6,Quantity!$C$8:$AH$8,TRUE)</f>
        <v>0</v>
      </c>
      <c r="H509" s="24" cm="1">
        <f t="array" aca="1" ref="H509" ca="1">SUMIFS(CA!$C510:$AQ510,CA!$C$7:$AQ$7,H$6,CA!$C$8:$AQ$8,TRUE)</f>
        <v>0</v>
      </c>
      <c r="I509" s="23" cm="1">
        <f t="array" aca="1" ref="I509" ca="1">SUMIFS(Quantity!$C510:$AH510,Quantity!$C$7:$AH$7,J$6,Quantity!$C$8:$AH$8,TRUE)</f>
        <v>0</v>
      </c>
      <c r="J509" s="25" cm="1">
        <f t="array" aca="1" ref="J509" ca="1">SUMIFS(CA!$C510:$AQ510,CA!$C$7:$AQ$7,J$6,CA!$C$8:$AQ$8,TRUE)</f>
        <v>0</v>
      </c>
      <c r="K509" s="26" t="str" cm="1">
        <f t="array" ref="K509">IF(SUM(Quantity!O510:Z510)=0,"",SUM(Quantity!O510:Z510))</f>
        <v/>
      </c>
      <c r="L509" s="24" t="str" cm="1">
        <f t="array" ref="L509">IF(SUM(CA!O510:Z510)=0,"",SUM(CA!O510:Z510))</f>
        <v/>
      </c>
      <c r="M509" s="23" t="str" cm="1">
        <f t="array" ref="M509">IF(SUM(Quantity!C510:N510)=0,"",SUM(Quantity!C510:N510))</f>
        <v/>
      </c>
      <c r="N509" s="25" t="str" cm="1">
        <f t="array" ref="N509">IF(SUM(CA!C510:N510)=0,"",SUM(CA!C510:N510))</f>
        <v/>
      </c>
    </row>
    <row r="510" spans="1:14" x14ac:dyDescent="0.25">
      <c r="A510" s="1"/>
      <c r="B510" s="22" cm="1">
        <f t="array" ref="B510">Quantity!B511</f>
        <v>0</v>
      </c>
      <c r="C510" s="23" cm="1">
        <f t="array" ref="C510">Quantity!O511</f>
        <v>0</v>
      </c>
      <c r="D510" s="24" cm="1">
        <f t="array" ref="D510">CA!O511</f>
        <v>0</v>
      </c>
      <c r="E510" s="23" cm="1">
        <f t="array" ref="E510">Quantity!C511</f>
        <v>0</v>
      </c>
      <c r="F510" s="25" cm="1">
        <f t="array" ref="F510">CA!C511</f>
        <v>0</v>
      </c>
      <c r="G510" s="26" cm="1">
        <f t="array" aca="1" ref="G510" ca="1">SUMIFS(Quantity!$C511:$AH511,Quantity!$C$7:$AH$7,H$6,Quantity!$C$8:$AH$8,TRUE)</f>
        <v>0</v>
      </c>
      <c r="H510" s="24" cm="1">
        <f t="array" aca="1" ref="H510" ca="1">SUMIFS(CA!$C511:$AQ511,CA!$C$7:$AQ$7,H$6,CA!$C$8:$AQ$8,TRUE)</f>
        <v>0</v>
      </c>
      <c r="I510" s="23" cm="1">
        <f t="array" aca="1" ref="I510" ca="1">SUMIFS(Quantity!$C511:$AH511,Quantity!$C$7:$AH$7,J$6,Quantity!$C$8:$AH$8,TRUE)</f>
        <v>0</v>
      </c>
      <c r="J510" s="25" cm="1">
        <f t="array" aca="1" ref="J510" ca="1">SUMIFS(CA!$C511:$AQ511,CA!$C$7:$AQ$7,J$6,CA!$C$8:$AQ$8,TRUE)</f>
        <v>0</v>
      </c>
      <c r="K510" s="26" t="str" cm="1">
        <f t="array" ref="K510">IF(SUM(Quantity!O511:Z511)=0,"",SUM(Quantity!O511:Z511))</f>
        <v/>
      </c>
      <c r="L510" s="24" t="str" cm="1">
        <f t="array" ref="L510">IF(SUM(CA!O511:Z511)=0,"",SUM(CA!O511:Z511))</f>
        <v/>
      </c>
      <c r="M510" s="23" t="str" cm="1">
        <f t="array" ref="M510">IF(SUM(Quantity!C511:N511)=0,"",SUM(Quantity!C511:N511))</f>
        <v/>
      </c>
      <c r="N510" s="25" t="str" cm="1">
        <f t="array" ref="N510">IF(SUM(CA!C511:N511)=0,"",SUM(CA!C511:N511))</f>
        <v/>
      </c>
    </row>
    <row r="511" spans="1:14" x14ac:dyDescent="0.25">
      <c r="A511" s="1"/>
      <c r="B511" s="22" cm="1">
        <f t="array" ref="B511">Quantity!B512</f>
        <v>0</v>
      </c>
      <c r="C511" s="23" cm="1">
        <f t="array" ref="C511">Quantity!O512</f>
        <v>0</v>
      </c>
      <c r="D511" s="24" cm="1">
        <f t="array" ref="D511">CA!O512</f>
        <v>0</v>
      </c>
      <c r="E511" s="23" cm="1">
        <f t="array" ref="E511">Quantity!C512</f>
        <v>0</v>
      </c>
      <c r="F511" s="25" cm="1">
        <f t="array" ref="F511">CA!C512</f>
        <v>0</v>
      </c>
      <c r="G511" s="26" cm="1">
        <f t="array" aca="1" ref="G511" ca="1">SUMIFS(Quantity!$C512:$AH512,Quantity!$C$7:$AH$7,H$6,Quantity!$C$8:$AH$8,TRUE)</f>
        <v>0</v>
      </c>
      <c r="H511" s="24" cm="1">
        <f t="array" aca="1" ref="H511" ca="1">SUMIFS(CA!$C512:$AQ512,CA!$C$7:$AQ$7,H$6,CA!$C$8:$AQ$8,TRUE)</f>
        <v>0</v>
      </c>
      <c r="I511" s="23" cm="1">
        <f t="array" aca="1" ref="I511" ca="1">SUMIFS(Quantity!$C512:$AH512,Quantity!$C$7:$AH$7,J$6,Quantity!$C$8:$AH$8,TRUE)</f>
        <v>0</v>
      </c>
      <c r="J511" s="25" cm="1">
        <f t="array" aca="1" ref="J511" ca="1">SUMIFS(CA!$C512:$AQ512,CA!$C$7:$AQ$7,J$6,CA!$C$8:$AQ$8,TRUE)</f>
        <v>0</v>
      </c>
      <c r="K511" s="26" t="str" cm="1">
        <f t="array" ref="K511">IF(SUM(Quantity!O512:Z512)=0,"",SUM(Quantity!O512:Z512))</f>
        <v/>
      </c>
      <c r="L511" s="24" t="str" cm="1">
        <f t="array" ref="L511">IF(SUM(CA!O512:Z512)=0,"",SUM(CA!O512:Z512))</f>
        <v/>
      </c>
      <c r="M511" s="23" t="str" cm="1">
        <f t="array" ref="M511">IF(SUM(Quantity!C512:N512)=0,"",SUM(Quantity!C512:N512))</f>
        <v/>
      </c>
      <c r="N511" s="25" t="str" cm="1">
        <f t="array" ref="N511">IF(SUM(CA!C512:N512)=0,"",SUM(CA!C512:N512))</f>
        <v/>
      </c>
    </row>
    <row r="512" spans="1:14" x14ac:dyDescent="0.25">
      <c r="A512" s="1"/>
      <c r="B512" s="22" cm="1">
        <f t="array" ref="B512">Quantity!B513</f>
        <v>0</v>
      </c>
      <c r="C512" s="23" cm="1">
        <f t="array" ref="C512">Quantity!O513</f>
        <v>0</v>
      </c>
      <c r="D512" s="24" cm="1">
        <f t="array" ref="D512">CA!O513</f>
        <v>0</v>
      </c>
      <c r="E512" s="23" cm="1">
        <f t="array" ref="E512">Quantity!C513</f>
        <v>0</v>
      </c>
      <c r="F512" s="25" cm="1">
        <f t="array" ref="F512">CA!C513</f>
        <v>0</v>
      </c>
      <c r="G512" s="26" cm="1">
        <f t="array" aca="1" ref="G512" ca="1">SUMIFS(Quantity!$C513:$AH513,Quantity!$C$7:$AH$7,H$6,Quantity!$C$8:$AH$8,TRUE)</f>
        <v>0</v>
      </c>
      <c r="H512" s="24" cm="1">
        <f t="array" aca="1" ref="H512" ca="1">SUMIFS(CA!$C513:$AQ513,CA!$C$7:$AQ$7,H$6,CA!$C$8:$AQ$8,TRUE)</f>
        <v>0</v>
      </c>
      <c r="I512" s="23" cm="1">
        <f t="array" aca="1" ref="I512" ca="1">SUMIFS(Quantity!$C513:$AH513,Quantity!$C$7:$AH$7,J$6,Quantity!$C$8:$AH$8,TRUE)</f>
        <v>0</v>
      </c>
      <c r="J512" s="25" cm="1">
        <f t="array" aca="1" ref="J512" ca="1">SUMIFS(CA!$C513:$AQ513,CA!$C$7:$AQ$7,J$6,CA!$C$8:$AQ$8,TRUE)</f>
        <v>0</v>
      </c>
      <c r="K512" s="26" t="str" cm="1">
        <f t="array" ref="K512">IF(SUM(Quantity!O513:Z513)=0,"",SUM(Quantity!O513:Z513))</f>
        <v/>
      </c>
      <c r="L512" s="24" t="str" cm="1">
        <f t="array" ref="L512">IF(SUM(CA!O513:Z513)=0,"",SUM(CA!O513:Z513))</f>
        <v/>
      </c>
      <c r="M512" s="23" t="str" cm="1">
        <f t="array" ref="M512">IF(SUM(Quantity!C513:N513)=0,"",SUM(Quantity!C513:N513))</f>
        <v/>
      </c>
      <c r="N512" s="25" t="str" cm="1">
        <f t="array" ref="N512">IF(SUM(CA!C513:N513)=0,"",SUM(CA!C513:N513))</f>
        <v/>
      </c>
    </row>
    <row r="513" spans="1:14" x14ac:dyDescent="0.25">
      <c r="A513" s="1"/>
      <c r="B513" s="22" cm="1">
        <f t="array" ref="B513">Quantity!B514</f>
        <v>0</v>
      </c>
      <c r="C513" s="23" cm="1">
        <f t="array" ref="C513">Quantity!O514</f>
        <v>0</v>
      </c>
      <c r="D513" s="24" cm="1">
        <f t="array" ref="D513">CA!O514</f>
        <v>0</v>
      </c>
      <c r="E513" s="23" cm="1">
        <f t="array" ref="E513">Quantity!C514</f>
        <v>0</v>
      </c>
      <c r="F513" s="25" cm="1">
        <f t="array" ref="F513">CA!C514</f>
        <v>0</v>
      </c>
      <c r="G513" s="26" cm="1">
        <f t="array" aca="1" ref="G513" ca="1">SUMIFS(Quantity!$C514:$AH514,Quantity!$C$7:$AH$7,H$6,Quantity!$C$8:$AH$8,TRUE)</f>
        <v>0</v>
      </c>
      <c r="H513" s="24" cm="1">
        <f t="array" aca="1" ref="H513" ca="1">SUMIFS(CA!$C514:$AQ514,CA!$C$7:$AQ$7,H$6,CA!$C$8:$AQ$8,TRUE)</f>
        <v>0</v>
      </c>
      <c r="I513" s="23" cm="1">
        <f t="array" aca="1" ref="I513" ca="1">SUMIFS(Quantity!$C514:$AH514,Quantity!$C$7:$AH$7,J$6,Quantity!$C$8:$AH$8,TRUE)</f>
        <v>0</v>
      </c>
      <c r="J513" s="25" cm="1">
        <f t="array" aca="1" ref="J513" ca="1">SUMIFS(CA!$C514:$AQ514,CA!$C$7:$AQ$7,J$6,CA!$C$8:$AQ$8,TRUE)</f>
        <v>0</v>
      </c>
      <c r="K513" s="26" t="str" cm="1">
        <f t="array" ref="K513">IF(SUM(Quantity!O514:Z514)=0,"",SUM(Quantity!O514:Z514))</f>
        <v/>
      </c>
      <c r="L513" s="24" t="str" cm="1">
        <f t="array" ref="L513">IF(SUM(CA!O514:Z514)=0,"",SUM(CA!O514:Z514))</f>
        <v/>
      </c>
      <c r="M513" s="23" t="str" cm="1">
        <f t="array" ref="M513">IF(SUM(Quantity!C514:N514)=0,"",SUM(Quantity!C514:N514))</f>
        <v/>
      </c>
      <c r="N513" s="25" t="str" cm="1">
        <f t="array" ref="N513">IF(SUM(CA!C514:N514)=0,"",SUM(CA!C514:N514))</f>
        <v/>
      </c>
    </row>
    <row r="514" spans="1:14" x14ac:dyDescent="0.25">
      <c r="A514" s="1"/>
      <c r="B514" s="22" cm="1">
        <f t="array" ref="B514">Quantity!B515</f>
        <v>0</v>
      </c>
      <c r="C514" s="23" cm="1">
        <f t="array" ref="C514">Quantity!O515</f>
        <v>0</v>
      </c>
      <c r="D514" s="24" cm="1">
        <f t="array" ref="D514">CA!O515</f>
        <v>0</v>
      </c>
      <c r="E514" s="23" cm="1">
        <f t="array" ref="E514">Quantity!C515</f>
        <v>0</v>
      </c>
      <c r="F514" s="25" cm="1">
        <f t="array" ref="F514">CA!C515</f>
        <v>0</v>
      </c>
      <c r="G514" s="26" cm="1">
        <f t="array" aca="1" ref="G514" ca="1">SUMIFS(Quantity!$C515:$AH515,Quantity!$C$7:$AH$7,H$6,Quantity!$C$8:$AH$8,TRUE)</f>
        <v>0</v>
      </c>
      <c r="H514" s="24" cm="1">
        <f t="array" aca="1" ref="H514" ca="1">SUMIFS(CA!$C515:$AQ515,CA!$C$7:$AQ$7,H$6,CA!$C$8:$AQ$8,TRUE)</f>
        <v>0</v>
      </c>
      <c r="I514" s="23" cm="1">
        <f t="array" aca="1" ref="I514" ca="1">SUMIFS(Quantity!$C515:$AH515,Quantity!$C$7:$AH$7,J$6,Quantity!$C$8:$AH$8,TRUE)</f>
        <v>0</v>
      </c>
      <c r="J514" s="25" cm="1">
        <f t="array" aca="1" ref="J514" ca="1">SUMIFS(CA!$C515:$AQ515,CA!$C$7:$AQ$7,J$6,CA!$C$8:$AQ$8,TRUE)</f>
        <v>0</v>
      </c>
      <c r="K514" s="26" t="str" cm="1">
        <f t="array" ref="K514">IF(SUM(Quantity!O515:Z515)=0,"",SUM(Quantity!O515:Z515))</f>
        <v/>
      </c>
      <c r="L514" s="24" t="str" cm="1">
        <f t="array" ref="L514">IF(SUM(CA!O515:Z515)=0,"",SUM(CA!O515:Z515))</f>
        <v/>
      </c>
      <c r="M514" s="23" t="str" cm="1">
        <f t="array" ref="M514">IF(SUM(Quantity!C515:N515)=0,"",SUM(Quantity!C515:N515))</f>
        <v/>
      </c>
      <c r="N514" s="25" t="str" cm="1">
        <f t="array" ref="N514">IF(SUM(CA!C515:N515)=0,"",SUM(CA!C515:N515))</f>
        <v/>
      </c>
    </row>
    <row r="515" spans="1:14" x14ac:dyDescent="0.25">
      <c r="A515" s="1"/>
      <c r="B515" s="22" cm="1">
        <f t="array" ref="B515">Quantity!B516</f>
        <v>0</v>
      </c>
      <c r="C515" s="23" cm="1">
        <f t="array" ref="C515">Quantity!O516</f>
        <v>0</v>
      </c>
      <c r="D515" s="24" cm="1">
        <f t="array" ref="D515">CA!O516</f>
        <v>0</v>
      </c>
      <c r="E515" s="23" cm="1">
        <f t="array" ref="E515">Quantity!C516</f>
        <v>0</v>
      </c>
      <c r="F515" s="25" cm="1">
        <f t="array" ref="F515">CA!C516</f>
        <v>0</v>
      </c>
      <c r="G515" s="26" cm="1">
        <f t="array" aca="1" ref="G515" ca="1">SUMIFS(Quantity!$C516:$AH516,Quantity!$C$7:$AH$7,H$6,Quantity!$C$8:$AH$8,TRUE)</f>
        <v>0</v>
      </c>
      <c r="H515" s="24" cm="1">
        <f t="array" aca="1" ref="H515" ca="1">SUMIFS(CA!$C516:$AQ516,CA!$C$7:$AQ$7,H$6,CA!$C$8:$AQ$8,TRUE)</f>
        <v>0</v>
      </c>
      <c r="I515" s="23" cm="1">
        <f t="array" aca="1" ref="I515" ca="1">SUMIFS(Quantity!$C516:$AH516,Quantity!$C$7:$AH$7,J$6,Quantity!$C$8:$AH$8,TRUE)</f>
        <v>0</v>
      </c>
      <c r="J515" s="25" cm="1">
        <f t="array" aca="1" ref="J515" ca="1">SUMIFS(CA!$C516:$AQ516,CA!$C$7:$AQ$7,J$6,CA!$C$8:$AQ$8,TRUE)</f>
        <v>0</v>
      </c>
      <c r="K515" s="26" t="str" cm="1">
        <f t="array" ref="K515">IF(SUM(Quantity!O516:Z516)=0,"",SUM(Quantity!O516:Z516))</f>
        <v/>
      </c>
      <c r="L515" s="24" t="str" cm="1">
        <f t="array" ref="L515">IF(SUM(CA!O516:Z516)=0,"",SUM(CA!O516:Z516))</f>
        <v/>
      </c>
      <c r="M515" s="23" t="str" cm="1">
        <f t="array" ref="M515">IF(SUM(Quantity!C516:N516)=0,"",SUM(Quantity!C516:N516))</f>
        <v/>
      </c>
      <c r="N515" s="25" t="str" cm="1">
        <f t="array" ref="N515">IF(SUM(CA!C516:N516)=0,"",SUM(CA!C516:N516))</f>
        <v/>
      </c>
    </row>
    <row r="516" spans="1:14" x14ac:dyDescent="0.25">
      <c r="A516" s="1"/>
      <c r="B516" s="22" cm="1">
        <f t="array" ref="B516">Quantity!B517</f>
        <v>0</v>
      </c>
      <c r="C516" s="23" cm="1">
        <f t="array" ref="C516">Quantity!O517</f>
        <v>0</v>
      </c>
      <c r="D516" s="24" cm="1">
        <f t="array" ref="D516">CA!O517</f>
        <v>0</v>
      </c>
      <c r="E516" s="23" cm="1">
        <f t="array" ref="E516">Quantity!C517</f>
        <v>0</v>
      </c>
      <c r="F516" s="25" cm="1">
        <f t="array" ref="F516">CA!C517</f>
        <v>0</v>
      </c>
      <c r="G516" s="26" cm="1">
        <f t="array" aca="1" ref="G516" ca="1">SUMIFS(Quantity!$C517:$AH517,Quantity!$C$7:$AH$7,H$6,Quantity!$C$8:$AH$8,TRUE)</f>
        <v>0</v>
      </c>
      <c r="H516" s="24" cm="1">
        <f t="array" aca="1" ref="H516" ca="1">SUMIFS(CA!$C517:$AQ517,CA!$C$7:$AQ$7,H$6,CA!$C$8:$AQ$8,TRUE)</f>
        <v>0</v>
      </c>
      <c r="I516" s="23" cm="1">
        <f t="array" aca="1" ref="I516" ca="1">SUMIFS(Quantity!$C517:$AH517,Quantity!$C$7:$AH$7,J$6,Quantity!$C$8:$AH$8,TRUE)</f>
        <v>0</v>
      </c>
      <c r="J516" s="25" cm="1">
        <f t="array" aca="1" ref="J516" ca="1">SUMIFS(CA!$C517:$AQ517,CA!$C$7:$AQ$7,J$6,CA!$C$8:$AQ$8,TRUE)</f>
        <v>0</v>
      </c>
      <c r="K516" s="26" t="str" cm="1">
        <f t="array" ref="K516">IF(SUM(Quantity!O517:Z517)=0,"",SUM(Quantity!O517:Z517))</f>
        <v/>
      </c>
      <c r="L516" s="24" t="str" cm="1">
        <f t="array" ref="L516">IF(SUM(CA!O517:Z517)=0,"",SUM(CA!O517:Z517))</f>
        <v/>
      </c>
      <c r="M516" s="23" t="str" cm="1">
        <f t="array" ref="M516">IF(SUM(Quantity!C517:N517)=0,"",SUM(Quantity!C517:N517))</f>
        <v/>
      </c>
      <c r="N516" s="25" t="str" cm="1">
        <f t="array" ref="N516">IF(SUM(CA!C517:N517)=0,"",SUM(CA!C517:N517))</f>
        <v/>
      </c>
    </row>
    <row r="517" spans="1:14" x14ac:dyDescent="0.25">
      <c r="A517" s="1"/>
      <c r="B517" s="22" cm="1">
        <f t="array" ref="B517">Quantity!B518</f>
        <v>0</v>
      </c>
      <c r="C517" s="23" cm="1">
        <f t="array" ref="C517">Quantity!O518</f>
        <v>0</v>
      </c>
      <c r="D517" s="24" cm="1">
        <f t="array" ref="D517">CA!O518</f>
        <v>0</v>
      </c>
      <c r="E517" s="23" cm="1">
        <f t="array" ref="E517">Quantity!C518</f>
        <v>0</v>
      </c>
      <c r="F517" s="25" cm="1">
        <f t="array" ref="F517">CA!C518</f>
        <v>0</v>
      </c>
      <c r="G517" s="26" cm="1">
        <f t="array" aca="1" ref="G517" ca="1">SUMIFS(Quantity!$C518:$AH518,Quantity!$C$7:$AH$7,H$6,Quantity!$C$8:$AH$8,TRUE)</f>
        <v>0</v>
      </c>
      <c r="H517" s="24" cm="1">
        <f t="array" aca="1" ref="H517" ca="1">SUMIFS(CA!$C518:$AQ518,CA!$C$7:$AQ$7,H$6,CA!$C$8:$AQ$8,TRUE)</f>
        <v>0</v>
      </c>
      <c r="I517" s="23" cm="1">
        <f t="array" aca="1" ref="I517" ca="1">SUMIFS(Quantity!$C518:$AH518,Quantity!$C$7:$AH$7,J$6,Quantity!$C$8:$AH$8,TRUE)</f>
        <v>0</v>
      </c>
      <c r="J517" s="25" cm="1">
        <f t="array" aca="1" ref="J517" ca="1">SUMIFS(CA!$C518:$AQ518,CA!$C$7:$AQ$7,J$6,CA!$C$8:$AQ$8,TRUE)</f>
        <v>0</v>
      </c>
      <c r="K517" s="26" t="str" cm="1">
        <f t="array" ref="K517">IF(SUM(Quantity!O518:Z518)=0,"",SUM(Quantity!O518:Z518))</f>
        <v/>
      </c>
      <c r="L517" s="24" t="str" cm="1">
        <f t="array" ref="L517">IF(SUM(CA!O518:Z518)=0,"",SUM(CA!O518:Z518))</f>
        <v/>
      </c>
      <c r="M517" s="23" t="str" cm="1">
        <f t="array" ref="M517">IF(SUM(Quantity!C518:N518)=0,"",SUM(Quantity!C518:N518))</f>
        <v/>
      </c>
      <c r="N517" s="25" t="str" cm="1">
        <f t="array" ref="N517">IF(SUM(CA!C518:N518)=0,"",SUM(CA!C518:N518))</f>
        <v/>
      </c>
    </row>
    <row r="518" spans="1:14" x14ac:dyDescent="0.25">
      <c r="A518" s="1"/>
      <c r="B518" s="22" cm="1">
        <f t="array" ref="B518">Quantity!B519</f>
        <v>0</v>
      </c>
      <c r="C518" s="23" cm="1">
        <f t="array" ref="C518">Quantity!O519</f>
        <v>0</v>
      </c>
      <c r="D518" s="24" cm="1">
        <f t="array" ref="D518">CA!O519</f>
        <v>0</v>
      </c>
      <c r="E518" s="23" cm="1">
        <f t="array" ref="E518">Quantity!C519</f>
        <v>0</v>
      </c>
      <c r="F518" s="25" cm="1">
        <f t="array" ref="F518">CA!C519</f>
        <v>0</v>
      </c>
      <c r="G518" s="26" cm="1">
        <f t="array" aca="1" ref="G518" ca="1">SUMIFS(Quantity!$C519:$AH519,Quantity!$C$7:$AH$7,H$6,Quantity!$C$8:$AH$8,TRUE)</f>
        <v>0</v>
      </c>
      <c r="H518" s="24" cm="1">
        <f t="array" aca="1" ref="H518" ca="1">SUMIFS(CA!$C519:$AQ519,CA!$C$7:$AQ$7,H$6,CA!$C$8:$AQ$8,TRUE)</f>
        <v>0</v>
      </c>
      <c r="I518" s="23" cm="1">
        <f t="array" aca="1" ref="I518" ca="1">SUMIFS(Quantity!$C519:$AH519,Quantity!$C$7:$AH$7,J$6,Quantity!$C$8:$AH$8,TRUE)</f>
        <v>0</v>
      </c>
      <c r="J518" s="25" cm="1">
        <f t="array" aca="1" ref="J518" ca="1">SUMIFS(CA!$C519:$AQ519,CA!$C$7:$AQ$7,J$6,CA!$C$8:$AQ$8,TRUE)</f>
        <v>0</v>
      </c>
      <c r="K518" s="26" t="str" cm="1">
        <f t="array" ref="K518">IF(SUM(Quantity!O519:Z519)=0,"",SUM(Quantity!O519:Z519))</f>
        <v/>
      </c>
      <c r="L518" s="24" t="str" cm="1">
        <f t="array" ref="L518">IF(SUM(CA!O519:Z519)=0,"",SUM(CA!O519:Z519))</f>
        <v/>
      </c>
      <c r="M518" s="23" t="str" cm="1">
        <f t="array" ref="M518">IF(SUM(Quantity!C519:N519)=0,"",SUM(Quantity!C519:N519))</f>
        <v/>
      </c>
      <c r="N518" s="25" t="str" cm="1">
        <f t="array" ref="N518">IF(SUM(CA!C519:N519)=0,"",SUM(CA!C519:N519))</f>
        <v/>
      </c>
    </row>
    <row r="519" spans="1:14" x14ac:dyDescent="0.25">
      <c r="A519" s="1"/>
      <c r="B519" s="22" cm="1">
        <f t="array" ref="B519">Quantity!B520</f>
        <v>0</v>
      </c>
      <c r="C519" s="23" cm="1">
        <f t="array" ref="C519">Quantity!O520</f>
        <v>0</v>
      </c>
      <c r="D519" s="24" cm="1">
        <f t="array" ref="D519">CA!O520</f>
        <v>0</v>
      </c>
      <c r="E519" s="23" cm="1">
        <f t="array" ref="E519">Quantity!C520</f>
        <v>0</v>
      </c>
      <c r="F519" s="25" cm="1">
        <f t="array" ref="F519">CA!C520</f>
        <v>0</v>
      </c>
      <c r="G519" s="26" cm="1">
        <f t="array" aca="1" ref="G519" ca="1">SUMIFS(Quantity!$C520:$AH520,Quantity!$C$7:$AH$7,H$6,Quantity!$C$8:$AH$8,TRUE)</f>
        <v>0</v>
      </c>
      <c r="H519" s="24" cm="1">
        <f t="array" aca="1" ref="H519" ca="1">SUMIFS(CA!$C520:$AQ520,CA!$C$7:$AQ$7,H$6,CA!$C$8:$AQ$8,TRUE)</f>
        <v>0</v>
      </c>
      <c r="I519" s="23" cm="1">
        <f t="array" aca="1" ref="I519" ca="1">SUMIFS(Quantity!$C520:$AH520,Quantity!$C$7:$AH$7,J$6,Quantity!$C$8:$AH$8,TRUE)</f>
        <v>0</v>
      </c>
      <c r="J519" s="25" cm="1">
        <f t="array" aca="1" ref="J519" ca="1">SUMIFS(CA!$C520:$AQ520,CA!$C$7:$AQ$7,J$6,CA!$C$8:$AQ$8,TRUE)</f>
        <v>0</v>
      </c>
      <c r="K519" s="26" t="str" cm="1">
        <f t="array" ref="K519">IF(SUM(Quantity!O520:Z520)=0,"",SUM(Quantity!O520:Z520))</f>
        <v/>
      </c>
      <c r="L519" s="24" t="str" cm="1">
        <f t="array" ref="L519">IF(SUM(CA!O520:Z520)=0,"",SUM(CA!O520:Z520))</f>
        <v/>
      </c>
      <c r="M519" s="23" t="str" cm="1">
        <f t="array" ref="M519">IF(SUM(Quantity!C520:N520)=0,"",SUM(Quantity!C520:N520))</f>
        <v/>
      </c>
      <c r="N519" s="25" t="str" cm="1">
        <f t="array" ref="N519">IF(SUM(CA!C520:N520)=0,"",SUM(CA!C520:N520))</f>
        <v/>
      </c>
    </row>
    <row r="520" spans="1:14" x14ac:dyDescent="0.25">
      <c r="A520" s="1"/>
      <c r="B520" s="22" cm="1">
        <f t="array" ref="B520">Quantity!B521</f>
        <v>0</v>
      </c>
      <c r="C520" s="23" cm="1">
        <f t="array" ref="C520">Quantity!O521</f>
        <v>0</v>
      </c>
      <c r="D520" s="24" cm="1">
        <f t="array" ref="D520">CA!O521</f>
        <v>0</v>
      </c>
      <c r="E520" s="23" cm="1">
        <f t="array" ref="E520">Quantity!C521</f>
        <v>0</v>
      </c>
      <c r="F520" s="25" cm="1">
        <f t="array" ref="F520">CA!C521</f>
        <v>0</v>
      </c>
      <c r="G520" s="26" cm="1">
        <f t="array" aca="1" ref="G520" ca="1">SUMIFS(Quantity!$C521:$AH521,Quantity!$C$7:$AH$7,H$6,Quantity!$C$8:$AH$8,TRUE)</f>
        <v>0</v>
      </c>
      <c r="H520" s="24" cm="1">
        <f t="array" aca="1" ref="H520" ca="1">SUMIFS(CA!$C521:$AQ521,CA!$C$7:$AQ$7,H$6,CA!$C$8:$AQ$8,TRUE)</f>
        <v>0</v>
      </c>
      <c r="I520" s="23" cm="1">
        <f t="array" aca="1" ref="I520" ca="1">SUMIFS(Quantity!$C521:$AH521,Quantity!$C$7:$AH$7,J$6,Quantity!$C$8:$AH$8,TRUE)</f>
        <v>0</v>
      </c>
      <c r="J520" s="25" cm="1">
        <f t="array" aca="1" ref="J520" ca="1">SUMIFS(CA!$C521:$AQ521,CA!$C$7:$AQ$7,J$6,CA!$C$8:$AQ$8,TRUE)</f>
        <v>0</v>
      </c>
      <c r="K520" s="26" t="str" cm="1">
        <f t="array" ref="K520">IF(SUM(Quantity!O521:Z521)=0,"",SUM(Quantity!O521:Z521))</f>
        <v/>
      </c>
      <c r="L520" s="24" t="str" cm="1">
        <f t="array" ref="L520">IF(SUM(CA!O521:Z521)=0,"",SUM(CA!O521:Z521))</f>
        <v/>
      </c>
      <c r="M520" s="23" t="str" cm="1">
        <f t="array" ref="M520">IF(SUM(Quantity!C521:N521)=0,"",SUM(Quantity!C521:N521))</f>
        <v/>
      </c>
      <c r="N520" s="25" t="str" cm="1">
        <f t="array" ref="N520">IF(SUM(CA!C521:N521)=0,"",SUM(CA!C521:N521))</f>
        <v/>
      </c>
    </row>
    <row r="521" spans="1:14" x14ac:dyDescent="0.25">
      <c r="A521" s="1"/>
      <c r="B521" s="22" cm="1">
        <f t="array" ref="B521">Quantity!B522</f>
        <v>0</v>
      </c>
      <c r="C521" s="23" cm="1">
        <f t="array" ref="C521">Quantity!O522</f>
        <v>0</v>
      </c>
      <c r="D521" s="24" cm="1">
        <f t="array" ref="D521">CA!O522</f>
        <v>0</v>
      </c>
      <c r="E521" s="23" cm="1">
        <f t="array" ref="E521">Quantity!C522</f>
        <v>0</v>
      </c>
      <c r="F521" s="25" cm="1">
        <f t="array" ref="F521">CA!C522</f>
        <v>0</v>
      </c>
      <c r="G521" s="26" cm="1">
        <f t="array" aca="1" ref="G521" ca="1">SUMIFS(Quantity!$C522:$AH522,Quantity!$C$7:$AH$7,H$6,Quantity!$C$8:$AH$8,TRUE)</f>
        <v>0</v>
      </c>
      <c r="H521" s="24" cm="1">
        <f t="array" aca="1" ref="H521" ca="1">SUMIFS(CA!$C522:$AQ522,CA!$C$7:$AQ$7,H$6,CA!$C$8:$AQ$8,TRUE)</f>
        <v>0</v>
      </c>
      <c r="I521" s="23" cm="1">
        <f t="array" aca="1" ref="I521" ca="1">SUMIFS(Quantity!$C522:$AH522,Quantity!$C$7:$AH$7,J$6,Quantity!$C$8:$AH$8,TRUE)</f>
        <v>0</v>
      </c>
      <c r="J521" s="25" cm="1">
        <f t="array" aca="1" ref="J521" ca="1">SUMIFS(CA!$C522:$AQ522,CA!$C$7:$AQ$7,J$6,CA!$C$8:$AQ$8,TRUE)</f>
        <v>0</v>
      </c>
      <c r="K521" s="26" t="str" cm="1">
        <f t="array" ref="K521">IF(SUM(Quantity!O522:Z522)=0,"",SUM(Quantity!O522:Z522))</f>
        <v/>
      </c>
      <c r="L521" s="24" t="str" cm="1">
        <f t="array" ref="L521">IF(SUM(CA!O522:Z522)=0,"",SUM(CA!O522:Z522))</f>
        <v/>
      </c>
      <c r="M521" s="23" t="str" cm="1">
        <f t="array" ref="M521">IF(SUM(Quantity!C522:N522)=0,"",SUM(Quantity!C522:N522))</f>
        <v/>
      </c>
      <c r="N521" s="25" t="str" cm="1">
        <f t="array" ref="N521">IF(SUM(CA!C522:N522)=0,"",SUM(CA!C522:N522))</f>
        <v/>
      </c>
    </row>
    <row r="522" spans="1:14" x14ac:dyDescent="0.25">
      <c r="A522" s="1"/>
      <c r="B522" s="22" cm="1">
        <f t="array" ref="B522">Quantity!B523</f>
        <v>0</v>
      </c>
      <c r="C522" s="23" cm="1">
        <f t="array" ref="C522">Quantity!O523</f>
        <v>0</v>
      </c>
      <c r="D522" s="24" cm="1">
        <f t="array" ref="D522">CA!O523</f>
        <v>0</v>
      </c>
      <c r="E522" s="23" cm="1">
        <f t="array" ref="E522">Quantity!C523</f>
        <v>0</v>
      </c>
      <c r="F522" s="25" cm="1">
        <f t="array" ref="F522">CA!C523</f>
        <v>0</v>
      </c>
      <c r="G522" s="26" cm="1">
        <f t="array" aca="1" ref="G522" ca="1">SUMIFS(Quantity!$C523:$AH523,Quantity!$C$7:$AH$7,H$6,Quantity!$C$8:$AH$8,TRUE)</f>
        <v>0</v>
      </c>
      <c r="H522" s="24" cm="1">
        <f t="array" aca="1" ref="H522" ca="1">SUMIFS(CA!$C523:$AQ523,CA!$C$7:$AQ$7,H$6,CA!$C$8:$AQ$8,TRUE)</f>
        <v>0</v>
      </c>
      <c r="I522" s="23" cm="1">
        <f t="array" aca="1" ref="I522" ca="1">SUMIFS(Quantity!$C523:$AH523,Quantity!$C$7:$AH$7,J$6,Quantity!$C$8:$AH$8,TRUE)</f>
        <v>0</v>
      </c>
      <c r="J522" s="25" cm="1">
        <f t="array" aca="1" ref="J522" ca="1">SUMIFS(CA!$C523:$AQ523,CA!$C$7:$AQ$7,J$6,CA!$C$8:$AQ$8,TRUE)</f>
        <v>0</v>
      </c>
      <c r="K522" s="26" t="str" cm="1">
        <f t="array" ref="K522">IF(SUM(Quantity!O523:Z523)=0,"",SUM(Quantity!O523:Z523))</f>
        <v/>
      </c>
      <c r="L522" s="24" t="str" cm="1">
        <f t="array" ref="L522">IF(SUM(CA!O523:Z523)=0,"",SUM(CA!O523:Z523))</f>
        <v/>
      </c>
      <c r="M522" s="23" t="str" cm="1">
        <f t="array" ref="M522">IF(SUM(Quantity!C523:N523)=0,"",SUM(Quantity!C523:N523))</f>
        <v/>
      </c>
      <c r="N522" s="25" t="str" cm="1">
        <f t="array" ref="N522">IF(SUM(CA!C523:N523)=0,"",SUM(CA!C523:N523))</f>
        <v/>
      </c>
    </row>
    <row r="523" spans="1:14" x14ac:dyDescent="0.25">
      <c r="A523" s="1"/>
      <c r="B523" s="22" cm="1">
        <f t="array" ref="B523">Quantity!B524</f>
        <v>0</v>
      </c>
      <c r="C523" s="23" cm="1">
        <f t="array" ref="C523">Quantity!O524</f>
        <v>0</v>
      </c>
      <c r="D523" s="24" cm="1">
        <f t="array" ref="D523">CA!O524</f>
        <v>0</v>
      </c>
      <c r="E523" s="23" cm="1">
        <f t="array" ref="E523">Quantity!C524</f>
        <v>0</v>
      </c>
      <c r="F523" s="25" cm="1">
        <f t="array" ref="F523">CA!C524</f>
        <v>0</v>
      </c>
      <c r="G523" s="26" cm="1">
        <f t="array" aca="1" ref="G523" ca="1">SUMIFS(Quantity!$C524:$AH524,Quantity!$C$7:$AH$7,H$6,Quantity!$C$8:$AH$8,TRUE)</f>
        <v>0</v>
      </c>
      <c r="H523" s="24" cm="1">
        <f t="array" aca="1" ref="H523" ca="1">SUMIFS(CA!$C524:$AQ524,CA!$C$7:$AQ$7,H$6,CA!$C$8:$AQ$8,TRUE)</f>
        <v>0</v>
      </c>
      <c r="I523" s="23" cm="1">
        <f t="array" aca="1" ref="I523" ca="1">SUMIFS(Quantity!$C524:$AH524,Quantity!$C$7:$AH$7,J$6,Quantity!$C$8:$AH$8,TRUE)</f>
        <v>0</v>
      </c>
      <c r="J523" s="25" cm="1">
        <f t="array" aca="1" ref="J523" ca="1">SUMIFS(CA!$C524:$AQ524,CA!$C$7:$AQ$7,J$6,CA!$C$8:$AQ$8,TRUE)</f>
        <v>0</v>
      </c>
      <c r="K523" s="26" t="str" cm="1">
        <f t="array" ref="K523">IF(SUM(Quantity!O524:Z524)=0,"",SUM(Quantity!O524:Z524))</f>
        <v/>
      </c>
      <c r="L523" s="24" t="str" cm="1">
        <f t="array" ref="L523">IF(SUM(CA!O524:Z524)=0,"",SUM(CA!O524:Z524))</f>
        <v/>
      </c>
      <c r="M523" s="23" t="str" cm="1">
        <f t="array" ref="M523">IF(SUM(Quantity!C524:N524)=0,"",SUM(Quantity!C524:N524))</f>
        <v/>
      </c>
      <c r="N523" s="25" t="str" cm="1">
        <f t="array" ref="N523">IF(SUM(CA!C524:N524)=0,"",SUM(CA!C524:N524))</f>
        <v/>
      </c>
    </row>
    <row r="524" spans="1:14" x14ac:dyDescent="0.25">
      <c r="A524" s="1"/>
      <c r="B524" s="22" cm="1">
        <f t="array" ref="B524">Quantity!B525</f>
        <v>0</v>
      </c>
      <c r="C524" s="23" cm="1">
        <f t="array" ref="C524">Quantity!O525</f>
        <v>0</v>
      </c>
      <c r="D524" s="24" cm="1">
        <f t="array" ref="D524">CA!O525</f>
        <v>0</v>
      </c>
      <c r="E524" s="23" cm="1">
        <f t="array" ref="E524">Quantity!C525</f>
        <v>0</v>
      </c>
      <c r="F524" s="25" cm="1">
        <f t="array" ref="F524">CA!C525</f>
        <v>0</v>
      </c>
      <c r="G524" s="26" cm="1">
        <f t="array" aca="1" ref="G524" ca="1">SUMIFS(Quantity!$C525:$AH525,Quantity!$C$7:$AH$7,H$6,Quantity!$C$8:$AH$8,TRUE)</f>
        <v>0</v>
      </c>
      <c r="H524" s="24" cm="1">
        <f t="array" aca="1" ref="H524" ca="1">SUMIFS(CA!$C525:$AQ525,CA!$C$7:$AQ$7,H$6,CA!$C$8:$AQ$8,TRUE)</f>
        <v>0</v>
      </c>
      <c r="I524" s="23" cm="1">
        <f t="array" aca="1" ref="I524" ca="1">SUMIFS(Quantity!$C525:$AH525,Quantity!$C$7:$AH$7,J$6,Quantity!$C$8:$AH$8,TRUE)</f>
        <v>0</v>
      </c>
      <c r="J524" s="25" cm="1">
        <f t="array" aca="1" ref="J524" ca="1">SUMIFS(CA!$C525:$AQ525,CA!$C$7:$AQ$7,J$6,CA!$C$8:$AQ$8,TRUE)</f>
        <v>0</v>
      </c>
      <c r="K524" s="26" t="str" cm="1">
        <f t="array" ref="K524">IF(SUM(Quantity!O525:Z525)=0,"",SUM(Quantity!O525:Z525))</f>
        <v/>
      </c>
      <c r="L524" s="24" t="str" cm="1">
        <f t="array" ref="L524">IF(SUM(CA!O525:Z525)=0,"",SUM(CA!O525:Z525))</f>
        <v/>
      </c>
      <c r="M524" s="23" t="str" cm="1">
        <f t="array" ref="M524">IF(SUM(Quantity!C525:N525)=0,"",SUM(Quantity!C525:N525))</f>
        <v/>
      </c>
      <c r="N524" s="25" t="str" cm="1">
        <f t="array" ref="N524">IF(SUM(CA!C525:N525)=0,"",SUM(CA!C525:N525))</f>
        <v/>
      </c>
    </row>
    <row r="525" spans="1:14" x14ac:dyDescent="0.25">
      <c r="A525" s="1"/>
      <c r="B525" s="22" cm="1">
        <f t="array" ref="B525">Quantity!B526</f>
        <v>0</v>
      </c>
      <c r="C525" s="23" cm="1">
        <f t="array" ref="C525">Quantity!O526</f>
        <v>0</v>
      </c>
      <c r="D525" s="24" cm="1">
        <f t="array" ref="D525">CA!O526</f>
        <v>0</v>
      </c>
      <c r="E525" s="23" cm="1">
        <f t="array" ref="E525">Quantity!C526</f>
        <v>0</v>
      </c>
      <c r="F525" s="25" cm="1">
        <f t="array" ref="F525">CA!C526</f>
        <v>0</v>
      </c>
      <c r="G525" s="26" cm="1">
        <f t="array" aca="1" ref="G525" ca="1">SUMIFS(Quantity!$C526:$AH526,Quantity!$C$7:$AH$7,H$6,Quantity!$C$8:$AH$8,TRUE)</f>
        <v>0</v>
      </c>
      <c r="H525" s="24" cm="1">
        <f t="array" aca="1" ref="H525" ca="1">SUMIFS(CA!$C526:$AQ526,CA!$C$7:$AQ$7,H$6,CA!$C$8:$AQ$8,TRUE)</f>
        <v>0</v>
      </c>
      <c r="I525" s="23" cm="1">
        <f t="array" aca="1" ref="I525" ca="1">SUMIFS(Quantity!$C526:$AH526,Quantity!$C$7:$AH$7,J$6,Quantity!$C$8:$AH$8,TRUE)</f>
        <v>0</v>
      </c>
      <c r="J525" s="25" cm="1">
        <f t="array" aca="1" ref="J525" ca="1">SUMIFS(CA!$C526:$AQ526,CA!$C$7:$AQ$7,J$6,CA!$C$8:$AQ$8,TRUE)</f>
        <v>0</v>
      </c>
      <c r="K525" s="26" t="str" cm="1">
        <f t="array" ref="K525">IF(SUM(Quantity!O526:Z526)=0,"",SUM(Quantity!O526:Z526))</f>
        <v/>
      </c>
      <c r="L525" s="24" t="str" cm="1">
        <f t="array" ref="L525">IF(SUM(CA!O526:Z526)=0,"",SUM(CA!O526:Z526))</f>
        <v/>
      </c>
      <c r="M525" s="23" t="str" cm="1">
        <f t="array" ref="M525">IF(SUM(Quantity!C526:N526)=0,"",SUM(Quantity!C526:N526))</f>
        <v/>
      </c>
      <c r="N525" s="25" t="str" cm="1">
        <f t="array" ref="N525">IF(SUM(CA!C526:N526)=0,"",SUM(CA!C526:N526))</f>
        <v/>
      </c>
    </row>
    <row r="526" spans="1:14" x14ac:dyDescent="0.25">
      <c r="A526" s="1"/>
      <c r="B526" s="22" cm="1">
        <f t="array" ref="B526">Quantity!B527</f>
        <v>0</v>
      </c>
      <c r="C526" s="23" cm="1">
        <f t="array" ref="C526">Quantity!O527</f>
        <v>0</v>
      </c>
      <c r="D526" s="24" cm="1">
        <f t="array" ref="D526">CA!O527</f>
        <v>0</v>
      </c>
      <c r="E526" s="23" cm="1">
        <f t="array" ref="E526">Quantity!C527</f>
        <v>0</v>
      </c>
      <c r="F526" s="25" cm="1">
        <f t="array" ref="F526">CA!C527</f>
        <v>0</v>
      </c>
      <c r="G526" s="26" cm="1">
        <f t="array" aca="1" ref="G526" ca="1">SUMIFS(Quantity!$C527:$AH527,Quantity!$C$7:$AH$7,H$6,Quantity!$C$8:$AH$8,TRUE)</f>
        <v>0</v>
      </c>
      <c r="H526" s="24" cm="1">
        <f t="array" aca="1" ref="H526" ca="1">SUMIFS(CA!$C527:$AQ527,CA!$C$7:$AQ$7,H$6,CA!$C$8:$AQ$8,TRUE)</f>
        <v>0</v>
      </c>
      <c r="I526" s="23" cm="1">
        <f t="array" aca="1" ref="I526" ca="1">SUMIFS(Quantity!$C527:$AH527,Quantity!$C$7:$AH$7,J$6,Quantity!$C$8:$AH$8,TRUE)</f>
        <v>0</v>
      </c>
      <c r="J526" s="25" cm="1">
        <f t="array" aca="1" ref="J526" ca="1">SUMIFS(CA!$C527:$AQ527,CA!$C$7:$AQ$7,J$6,CA!$C$8:$AQ$8,TRUE)</f>
        <v>0</v>
      </c>
      <c r="K526" s="26" t="str" cm="1">
        <f t="array" ref="K526">IF(SUM(Quantity!O527:Z527)=0,"",SUM(Quantity!O527:Z527))</f>
        <v/>
      </c>
      <c r="L526" s="24" t="str" cm="1">
        <f t="array" ref="L526">IF(SUM(CA!O527:Z527)=0,"",SUM(CA!O527:Z527))</f>
        <v/>
      </c>
      <c r="M526" s="23" t="str" cm="1">
        <f t="array" ref="M526">IF(SUM(Quantity!C527:N527)=0,"",SUM(Quantity!C527:N527))</f>
        <v/>
      </c>
      <c r="N526" s="25" t="str" cm="1">
        <f t="array" ref="N526">IF(SUM(CA!C527:N527)=0,"",SUM(CA!C527:N527))</f>
        <v/>
      </c>
    </row>
    <row r="527" spans="1:14" x14ac:dyDescent="0.25">
      <c r="A527" s="1"/>
      <c r="B527" s="22" cm="1">
        <f t="array" ref="B527">Quantity!B528</f>
        <v>0</v>
      </c>
      <c r="C527" s="23" cm="1">
        <f t="array" ref="C527">Quantity!O528</f>
        <v>0</v>
      </c>
      <c r="D527" s="24" cm="1">
        <f t="array" ref="D527">CA!O528</f>
        <v>0</v>
      </c>
      <c r="E527" s="23" cm="1">
        <f t="array" ref="E527">Quantity!C528</f>
        <v>0</v>
      </c>
      <c r="F527" s="25" cm="1">
        <f t="array" ref="F527">CA!C528</f>
        <v>0</v>
      </c>
      <c r="G527" s="26" cm="1">
        <f t="array" aca="1" ref="G527" ca="1">SUMIFS(Quantity!$C528:$AH528,Quantity!$C$7:$AH$7,H$6,Quantity!$C$8:$AH$8,TRUE)</f>
        <v>0</v>
      </c>
      <c r="H527" s="24" cm="1">
        <f t="array" aca="1" ref="H527" ca="1">SUMIFS(CA!$C528:$AQ528,CA!$C$7:$AQ$7,H$6,CA!$C$8:$AQ$8,TRUE)</f>
        <v>0</v>
      </c>
      <c r="I527" s="23" cm="1">
        <f t="array" aca="1" ref="I527" ca="1">SUMIFS(Quantity!$C528:$AH528,Quantity!$C$7:$AH$7,J$6,Quantity!$C$8:$AH$8,TRUE)</f>
        <v>0</v>
      </c>
      <c r="J527" s="25" cm="1">
        <f t="array" aca="1" ref="J527" ca="1">SUMIFS(CA!$C528:$AQ528,CA!$C$7:$AQ$7,J$6,CA!$C$8:$AQ$8,TRUE)</f>
        <v>0</v>
      </c>
      <c r="K527" s="26" t="str" cm="1">
        <f t="array" ref="K527">IF(SUM(Quantity!O528:Z528)=0,"",SUM(Quantity!O528:Z528))</f>
        <v/>
      </c>
      <c r="L527" s="24" t="str" cm="1">
        <f t="array" ref="L527">IF(SUM(CA!O528:Z528)=0,"",SUM(CA!O528:Z528))</f>
        <v/>
      </c>
      <c r="M527" s="23" t="str" cm="1">
        <f t="array" ref="M527">IF(SUM(Quantity!C528:N528)=0,"",SUM(Quantity!C528:N528))</f>
        <v/>
      </c>
      <c r="N527" s="25" t="str" cm="1">
        <f t="array" ref="N527">IF(SUM(CA!C528:N528)=0,"",SUM(CA!C528:N528))</f>
        <v/>
      </c>
    </row>
    <row r="528" spans="1:14" x14ac:dyDescent="0.25">
      <c r="A528" s="1"/>
      <c r="B528" s="22" cm="1">
        <f t="array" ref="B528">Quantity!B529</f>
        <v>0</v>
      </c>
      <c r="C528" s="23" cm="1">
        <f t="array" ref="C528">Quantity!O529</f>
        <v>0</v>
      </c>
      <c r="D528" s="24" cm="1">
        <f t="array" ref="D528">CA!O529</f>
        <v>0</v>
      </c>
      <c r="E528" s="23" cm="1">
        <f t="array" ref="E528">Quantity!C529</f>
        <v>0</v>
      </c>
      <c r="F528" s="25" cm="1">
        <f t="array" ref="F528">CA!C529</f>
        <v>0</v>
      </c>
      <c r="G528" s="26" cm="1">
        <f t="array" aca="1" ref="G528" ca="1">SUMIFS(Quantity!$C529:$AH529,Quantity!$C$7:$AH$7,H$6,Quantity!$C$8:$AH$8,TRUE)</f>
        <v>0</v>
      </c>
      <c r="H528" s="24" cm="1">
        <f t="array" aca="1" ref="H528" ca="1">SUMIFS(CA!$C529:$AQ529,CA!$C$7:$AQ$7,H$6,CA!$C$8:$AQ$8,TRUE)</f>
        <v>0</v>
      </c>
      <c r="I528" s="23" cm="1">
        <f t="array" aca="1" ref="I528" ca="1">SUMIFS(Quantity!$C529:$AH529,Quantity!$C$7:$AH$7,J$6,Quantity!$C$8:$AH$8,TRUE)</f>
        <v>0</v>
      </c>
      <c r="J528" s="25" cm="1">
        <f t="array" aca="1" ref="J528" ca="1">SUMIFS(CA!$C529:$AQ529,CA!$C$7:$AQ$7,J$6,CA!$C$8:$AQ$8,TRUE)</f>
        <v>0</v>
      </c>
      <c r="K528" s="26" t="str" cm="1">
        <f t="array" ref="K528">IF(SUM(Quantity!O529:Z529)=0,"",SUM(Quantity!O529:Z529))</f>
        <v/>
      </c>
      <c r="L528" s="24" t="str" cm="1">
        <f t="array" ref="L528">IF(SUM(CA!O529:Z529)=0,"",SUM(CA!O529:Z529))</f>
        <v/>
      </c>
      <c r="M528" s="23" t="str" cm="1">
        <f t="array" ref="M528">IF(SUM(Quantity!C529:N529)=0,"",SUM(Quantity!C529:N529))</f>
        <v/>
      </c>
      <c r="N528" s="25" t="str" cm="1">
        <f t="array" ref="N528">IF(SUM(CA!C529:N529)=0,"",SUM(CA!C529:N529))</f>
        <v/>
      </c>
    </row>
    <row r="529" spans="1:14" x14ac:dyDescent="0.25">
      <c r="A529" s="1"/>
      <c r="B529" s="22" cm="1">
        <f t="array" ref="B529">Quantity!B530</f>
        <v>0</v>
      </c>
      <c r="C529" s="23" cm="1">
        <f t="array" ref="C529">Quantity!O530</f>
        <v>0</v>
      </c>
      <c r="D529" s="24" cm="1">
        <f t="array" ref="D529">CA!O530</f>
        <v>0</v>
      </c>
      <c r="E529" s="23" cm="1">
        <f t="array" ref="E529">Quantity!C530</f>
        <v>0</v>
      </c>
      <c r="F529" s="25" cm="1">
        <f t="array" ref="F529">CA!C530</f>
        <v>0</v>
      </c>
      <c r="G529" s="26" cm="1">
        <f t="array" aca="1" ref="G529" ca="1">SUMIFS(Quantity!$C530:$AH530,Quantity!$C$7:$AH$7,H$6,Quantity!$C$8:$AH$8,TRUE)</f>
        <v>0</v>
      </c>
      <c r="H529" s="24" cm="1">
        <f t="array" aca="1" ref="H529" ca="1">SUMIFS(CA!$C530:$AQ530,CA!$C$7:$AQ$7,H$6,CA!$C$8:$AQ$8,TRUE)</f>
        <v>0</v>
      </c>
      <c r="I529" s="23" cm="1">
        <f t="array" aca="1" ref="I529" ca="1">SUMIFS(Quantity!$C530:$AH530,Quantity!$C$7:$AH$7,J$6,Quantity!$C$8:$AH$8,TRUE)</f>
        <v>0</v>
      </c>
      <c r="J529" s="25" cm="1">
        <f t="array" aca="1" ref="J529" ca="1">SUMIFS(CA!$C530:$AQ530,CA!$C$7:$AQ$7,J$6,CA!$C$8:$AQ$8,TRUE)</f>
        <v>0</v>
      </c>
      <c r="K529" s="26" t="str" cm="1">
        <f t="array" ref="K529">IF(SUM(Quantity!O530:Z530)=0,"",SUM(Quantity!O530:Z530))</f>
        <v/>
      </c>
      <c r="L529" s="24" t="str" cm="1">
        <f t="array" ref="L529">IF(SUM(CA!O530:Z530)=0,"",SUM(CA!O530:Z530))</f>
        <v/>
      </c>
      <c r="M529" s="23" t="str" cm="1">
        <f t="array" ref="M529">IF(SUM(Quantity!C530:N530)=0,"",SUM(Quantity!C530:N530))</f>
        <v/>
      </c>
      <c r="N529" s="25" t="str" cm="1">
        <f t="array" ref="N529">IF(SUM(CA!C530:N530)=0,"",SUM(CA!C530:N530))</f>
        <v/>
      </c>
    </row>
    <row r="530" spans="1:14" x14ac:dyDescent="0.25">
      <c r="A530" s="1"/>
      <c r="B530" s="22" cm="1">
        <f t="array" ref="B530">Quantity!B531</f>
        <v>0</v>
      </c>
      <c r="C530" s="23" cm="1">
        <f t="array" ref="C530">Quantity!O531</f>
        <v>0</v>
      </c>
      <c r="D530" s="24" cm="1">
        <f t="array" ref="D530">CA!O531</f>
        <v>0</v>
      </c>
      <c r="E530" s="23" cm="1">
        <f t="array" ref="E530">Quantity!C531</f>
        <v>0</v>
      </c>
      <c r="F530" s="25" cm="1">
        <f t="array" ref="F530">CA!C531</f>
        <v>0</v>
      </c>
      <c r="G530" s="26" cm="1">
        <f t="array" aca="1" ref="G530" ca="1">SUMIFS(Quantity!$C531:$AH531,Quantity!$C$7:$AH$7,H$6,Quantity!$C$8:$AH$8,TRUE)</f>
        <v>0</v>
      </c>
      <c r="H530" s="24" cm="1">
        <f t="array" aca="1" ref="H530" ca="1">SUMIFS(CA!$C531:$AQ531,CA!$C$7:$AQ$7,H$6,CA!$C$8:$AQ$8,TRUE)</f>
        <v>0</v>
      </c>
      <c r="I530" s="23" cm="1">
        <f t="array" aca="1" ref="I530" ca="1">SUMIFS(Quantity!$C531:$AH531,Quantity!$C$7:$AH$7,J$6,Quantity!$C$8:$AH$8,TRUE)</f>
        <v>0</v>
      </c>
      <c r="J530" s="25" cm="1">
        <f t="array" aca="1" ref="J530" ca="1">SUMIFS(CA!$C531:$AQ531,CA!$C$7:$AQ$7,J$6,CA!$C$8:$AQ$8,TRUE)</f>
        <v>0</v>
      </c>
      <c r="K530" s="26" t="str" cm="1">
        <f t="array" ref="K530">IF(SUM(Quantity!O531:Z531)=0,"",SUM(Quantity!O531:Z531))</f>
        <v/>
      </c>
      <c r="L530" s="24" t="str" cm="1">
        <f t="array" ref="L530">IF(SUM(CA!O531:Z531)=0,"",SUM(CA!O531:Z531))</f>
        <v/>
      </c>
      <c r="M530" s="23" t="str" cm="1">
        <f t="array" ref="M530">IF(SUM(Quantity!C531:N531)=0,"",SUM(Quantity!C531:N531))</f>
        <v/>
      </c>
      <c r="N530" s="25" t="str" cm="1">
        <f t="array" ref="N530">IF(SUM(CA!C531:N531)=0,"",SUM(CA!C531:N531))</f>
        <v/>
      </c>
    </row>
    <row r="531" spans="1:14" x14ac:dyDescent="0.25">
      <c r="A531" s="1"/>
      <c r="B531" s="22" cm="1">
        <f t="array" ref="B531">Quantity!B532</f>
        <v>0</v>
      </c>
      <c r="C531" s="23" cm="1">
        <f t="array" ref="C531">Quantity!O532</f>
        <v>0</v>
      </c>
      <c r="D531" s="24" cm="1">
        <f t="array" ref="D531">CA!O532</f>
        <v>0</v>
      </c>
      <c r="E531" s="23" cm="1">
        <f t="array" ref="E531">Quantity!C532</f>
        <v>0</v>
      </c>
      <c r="F531" s="25" cm="1">
        <f t="array" ref="F531">CA!C532</f>
        <v>0</v>
      </c>
      <c r="G531" s="26" cm="1">
        <f t="array" aca="1" ref="G531" ca="1">SUMIFS(Quantity!$C532:$AH532,Quantity!$C$7:$AH$7,H$6,Quantity!$C$8:$AH$8,TRUE)</f>
        <v>0</v>
      </c>
      <c r="H531" s="24" cm="1">
        <f t="array" aca="1" ref="H531" ca="1">SUMIFS(CA!$C532:$AQ532,CA!$C$7:$AQ$7,H$6,CA!$C$8:$AQ$8,TRUE)</f>
        <v>0</v>
      </c>
      <c r="I531" s="23" cm="1">
        <f t="array" aca="1" ref="I531" ca="1">SUMIFS(Quantity!$C532:$AH532,Quantity!$C$7:$AH$7,J$6,Quantity!$C$8:$AH$8,TRUE)</f>
        <v>0</v>
      </c>
      <c r="J531" s="25" cm="1">
        <f t="array" aca="1" ref="J531" ca="1">SUMIFS(CA!$C532:$AQ532,CA!$C$7:$AQ$7,J$6,CA!$C$8:$AQ$8,TRUE)</f>
        <v>0</v>
      </c>
      <c r="K531" s="26" t="str" cm="1">
        <f t="array" ref="K531">IF(SUM(Quantity!O532:Z532)=0,"",SUM(Quantity!O532:Z532))</f>
        <v/>
      </c>
      <c r="L531" s="24" t="str" cm="1">
        <f t="array" ref="L531">IF(SUM(CA!O532:Z532)=0,"",SUM(CA!O532:Z532))</f>
        <v/>
      </c>
      <c r="M531" s="23" t="str" cm="1">
        <f t="array" ref="M531">IF(SUM(Quantity!C532:N532)=0,"",SUM(Quantity!C532:N532))</f>
        <v/>
      </c>
      <c r="N531" s="25" t="str" cm="1">
        <f t="array" ref="N531">IF(SUM(CA!C532:N532)=0,"",SUM(CA!C532:N532))</f>
        <v/>
      </c>
    </row>
    <row r="532" spans="1:14" x14ac:dyDescent="0.25">
      <c r="A532" s="1"/>
      <c r="B532" s="22" cm="1">
        <f t="array" ref="B532">Quantity!B533</f>
        <v>0</v>
      </c>
      <c r="C532" s="23" cm="1">
        <f t="array" ref="C532">Quantity!O533</f>
        <v>0</v>
      </c>
      <c r="D532" s="24" cm="1">
        <f t="array" ref="D532">CA!O533</f>
        <v>0</v>
      </c>
      <c r="E532" s="23" cm="1">
        <f t="array" ref="E532">Quantity!C533</f>
        <v>0</v>
      </c>
      <c r="F532" s="25" cm="1">
        <f t="array" ref="F532">CA!C533</f>
        <v>0</v>
      </c>
      <c r="G532" s="26" cm="1">
        <f t="array" aca="1" ref="G532" ca="1">SUMIFS(Quantity!$C533:$AH533,Quantity!$C$7:$AH$7,H$6,Quantity!$C$8:$AH$8,TRUE)</f>
        <v>0</v>
      </c>
      <c r="H532" s="24" cm="1">
        <f t="array" aca="1" ref="H532" ca="1">SUMIFS(CA!$C533:$AQ533,CA!$C$7:$AQ$7,H$6,CA!$C$8:$AQ$8,TRUE)</f>
        <v>0</v>
      </c>
      <c r="I532" s="23" cm="1">
        <f t="array" aca="1" ref="I532" ca="1">SUMIFS(Quantity!$C533:$AH533,Quantity!$C$7:$AH$7,J$6,Quantity!$C$8:$AH$8,TRUE)</f>
        <v>0</v>
      </c>
      <c r="J532" s="25" cm="1">
        <f t="array" aca="1" ref="J532" ca="1">SUMIFS(CA!$C533:$AQ533,CA!$C$7:$AQ$7,J$6,CA!$C$8:$AQ$8,TRUE)</f>
        <v>0</v>
      </c>
      <c r="K532" s="26" t="str" cm="1">
        <f t="array" ref="K532">IF(SUM(Quantity!O533:Z533)=0,"",SUM(Quantity!O533:Z533))</f>
        <v/>
      </c>
      <c r="L532" s="24" t="str" cm="1">
        <f t="array" ref="L532">IF(SUM(CA!O533:Z533)=0,"",SUM(CA!O533:Z533))</f>
        <v/>
      </c>
      <c r="M532" s="23" t="str" cm="1">
        <f t="array" ref="M532">IF(SUM(Quantity!C533:N533)=0,"",SUM(Quantity!C533:N533))</f>
        <v/>
      </c>
      <c r="N532" s="25" t="str" cm="1">
        <f t="array" ref="N532">IF(SUM(CA!C533:N533)=0,"",SUM(CA!C533:N533))</f>
        <v/>
      </c>
    </row>
    <row r="533" spans="1:14" x14ac:dyDescent="0.25">
      <c r="A533" s="1"/>
      <c r="B533" s="22" cm="1">
        <f t="array" ref="B533">Quantity!B534</f>
        <v>0</v>
      </c>
      <c r="C533" s="23" cm="1">
        <f t="array" ref="C533">Quantity!O534</f>
        <v>0</v>
      </c>
      <c r="D533" s="24" cm="1">
        <f t="array" ref="D533">CA!O534</f>
        <v>0</v>
      </c>
      <c r="E533" s="23" cm="1">
        <f t="array" ref="E533">Quantity!C534</f>
        <v>0</v>
      </c>
      <c r="F533" s="25" cm="1">
        <f t="array" ref="F533">CA!C534</f>
        <v>0</v>
      </c>
      <c r="G533" s="26" cm="1">
        <f t="array" aca="1" ref="G533" ca="1">SUMIFS(Quantity!$C534:$AH534,Quantity!$C$7:$AH$7,H$6,Quantity!$C$8:$AH$8,TRUE)</f>
        <v>0</v>
      </c>
      <c r="H533" s="24" cm="1">
        <f t="array" aca="1" ref="H533" ca="1">SUMIFS(CA!$C534:$AQ534,CA!$C$7:$AQ$7,H$6,CA!$C$8:$AQ$8,TRUE)</f>
        <v>0</v>
      </c>
      <c r="I533" s="23" cm="1">
        <f t="array" aca="1" ref="I533" ca="1">SUMIFS(Quantity!$C534:$AH534,Quantity!$C$7:$AH$7,J$6,Quantity!$C$8:$AH$8,TRUE)</f>
        <v>0</v>
      </c>
      <c r="J533" s="25" cm="1">
        <f t="array" aca="1" ref="J533" ca="1">SUMIFS(CA!$C534:$AQ534,CA!$C$7:$AQ$7,J$6,CA!$C$8:$AQ$8,TRUE)</f>
        <v>0</v>
      </c>
      <c r="K533" s="26" t="str" cm="1">
        <f t="array" ref="K533">IF(SUM(Quantity!O534:Z534)=0,"",SUM(Quantity!O534:Z534))</f>
        <v/>
      </c>
      <c r="L533" s="24" t="str" cm="1">
        <f t="array" ref="L533">IF(SUM(CA!O534:Z534)=0,"",SUM(CA!O534:Z534))</f>
        <v/>
      </c>
      <c r="M533" s="23" t="str" cm="1">
        <f t="array" ref="M533">IF(SUM(Quantity!C534:N534)=0,"",SUM(Quantity!C534:N534))</f>
        <v/>
      </c>
      <c r="N533" s="25" t="str" cm="1">
        <f t="array" ref="N533">IF(SUM(CA!C534:N534)=0,"",SUM(CA!C534:N534))</f>
        <v/>
      </c>
    </row>
    <row r="534" spans="1:14" x14ac:dyDescent="0.25">
      <c r="A534" s="1"/>
      <c r="B534" s="22" cm="1">
        <f t="array" ref="B534">Quantity!B535</f>
        <v>0</v>
      </c>
      <c r="C534" s="23" cm="1">
        <f t="array" ref="C534">Quantity!O535</f>
        <v>0</v>
      </c>
      <c r="D534" s="24" cm="1">
        <f t="array" ref="D534">CA!O535</f>
        <v>0</v>
      </c>
      <c r="E534" s="23" cm="1">
        <f t="array" ref="E534">Quantity!C535</f>
        <v>0</v>
      </c>
      <c r="F534" s="25" cm="1">
        <f t="array" ref="F534">CA!C535</f>
        <v>0</v>
      </c>
      <c r="G534" s="26" cm="1">
        <f t="array" aca="1" ref="G534" ca="1">SUMIFS(Quantity!$C535:$AH535,Quantity!$C$7:$AH$7,H$6,Quantity!$C$8:$AH$8,TRUE)</f>
        <v>0</v>
      </c>
      <c r="H534" s="24" cm="1">
        <f t="array" aca="1" ref="H534" ca="1">SUMIFS(CA!$C535:$AQ535,CA!$C$7:$AQ$7,H$6,CA!$C$8:$AQ$8,TRUE)</f>
        <v>0</v>
      </c>
      <c r="I534" s="23" cm="1">
        <f t="array" aca="1" ref="I534" ca="1">SUMIFS(Quantity!$C535:$AH535,Quantity!$C$7:$AH$7,J$6,Quantity!$C$8:$AH$8,TRUE)</f>
        <v>0</v>
      </c>
      <c r="J534" s="25" cm="1">
        <f t="array" aca="1" ref="J534" ca="1">SUMIFS(CA!$C535:$AQ535,CA!$C$7:$AQ$7,J$6,CA!$C$8:$AQ$8,TRUE)</f>
        <v>0</v>
      </c>
      <c r="K534" s="26" t="str" cm="1">
        <f t="array" ref="K534">IF(SUM(Quantity!O535:Z535)=0,"",SUM(Quantity!O535:Z535))</f>
        <v/>
      </c>
      <c r="L534" s="24" t="str" cm="1">
        <f t="array" ref="L534">IF(SUM(CA!O535:Z535)=0,"",SUM(CA!O535:Z535))</f>
        <v/>
      </c>
      <c r="M534" s="23" t="str" cm="1">
        <f t="array" ref="M534">IF(SUM(Quantity!C535:N535)=0,"",SUM(Quantity!C535:N535))</f>
        <v/>
      </c>
      <c r="N534" s="25" t="str" cm="1">
        <f t="array" ref="N534">IF(SUM(CA!C535:N535)=0,"",SUM(CA!C535:N535))</f>
        <v/>
      </c>
    </row>
    <row r="535" spans="1:14" x14ac:dyDescent="0.25">
      <c r="A535" s="1"/>
      <c r="B535" s="22" cm="1">
        <f t="array" ref="B535">Quantity!B536</f>
        <v>0</v>
      </c>
      <c r="C535" s="23" cm="1">
        <f t="array" ref="C535">Quantity!O536</f>
        <v>0</v>
      </c>
      <c r="D535" s="24" cm="1">
        <f t="array" ref="D535">CA!O536</f>
        <v>0</v>
      </c>
      <c r="E535" s="23" cm="1">
        <f t="array" ref="E535">Quantity!C536</f>
        <v>0</v>
      </c>
      <c r="F535" s="25" cm="1">
        <f t="array" ref="F535">CA!C536</f>
        <v>0</v>
      </c>
      <c r="G535" s="26" cm="1">
        <f t="array" aca="1" ref="G535" ca="1">SUMIFS(Quantity!$C536:$AH536,Quantity!$C$7:$AH$7,H$6,Quantity!$C$8:$AH$8,TRUE)</f>
        <v>0</v>
      </c>
      <c r="H535" s="24" cm="1">
        <f t="array" aca="1" ref="H535" ca="1">SUMIFS(CA!$C536:$AQ536,CA!$C$7:$AQ$7,H$6,CA!$C$8:$AQ$8,TRUE)</f>
        <v>0</v>
      </c>
      <c r="I535" s="23" cm="1">
        <f t="array" aca="1" ref="I535" ca="1">SUMIFS(Quantity!$C536:$AH536,Quantity!$C$7:$AH$7,J$6,Quantity!$C$8:$AH$8,TRUE)</f>
        <v>0</v>
      </c>
      <c r="J535" s="25" cm="1">
        <f t="array" aca="1" ref="J535" ca="1">SUMIFS(CA!$C536:$AQ536,CA!$C$7:$AQ$7,J$6,CA!$C$8:$AQ$8,TRUE)</f>
        <v>0</v>
      </c>
      <c r="K535" s="26" t="str" cm="1">
        <f t="array" ref="K535">IF(SUM(Quantity!O536:Z536)=0,"",SUM(Quantity!O536:Z536))</f>
        <v/>
      </c>
      <c r="L535" s="24" t="str" cm="1">
        <f t="array" ref="L535">IF(SUM(CA!O536:Z536)=0,"",SUM(CA!O536:Z536))</f>
        <v/>
      </c>
      <c r="M535" s="23" t="str" cm="1">
        <f t="array" ref="M535">IF(SUM(Quantity!C536:N536)=0,"",SUM(Quantity!C536:N536))</f>
        <v/>
      </c>
      <c r="N535" s="25" t="str" cm="1">
        <f t="array" ref="N535">IF(SUM(CA!C536:N536)=0,"",SUM(CA!C536:N536))</f>
        <v/>
      </c>
    </row>
    <row r="536" spans="1:14" x14ac:dyDescent="0.25">
      <c r="A536" s="1"/>
      <c r="B536" s="22" cm="1">
        <f t="array" ref="B536">Quantity!B537</f>
        <v>0</v>
      </c>
      <c r="C536" s="23" cm="1">
        <f t="array" ref="C536">Quantity!O537</f>
        <v>0</v>
      </c>
      <c r="D536" s="24" cm="1">
        <f t="array" ref="D536">CA!O537</f>
        <v>0</v>
      </c>
      <c r="E536" s="23" cm="1">
        <f t="array" ref="E536">Quantity!C537</f>
        <v>0</v>
      </c>
      <c r="F536" s="25" cm="1">
        <f t="array" ref="F536">CA!C537</f>
        <v>0</v>
      </c>
      <c r="G536" s="26" cm="1">
        <f t="array" aca="1" ref="G536" ca="1">SUMIFS(Quantity!$C537:$AH537,Quantity!$C$7:$AH$7,H$6,Quantity!$C$8:$AH$8,TRUE)</f>
        <v>0</v>
      </c>
      <c r="H536" s="24" cm="1">
        <f t="array" aca="1" ref="H536" ca="1">SUMIFS(CA!$C537:$AQ537,CA!$C$7:$AQ$7,H$6,CA!$C$8:$AQ$8,TRUE)</f>
        <v>0</v>
      </c>
      <c r="I536" s="23" cm="1">
        <f t="array" aca="1" ref="I536" ca="1">SUMIFS(Quantity!$C537:$AH537,Quantity!$C$7:$AH$7,J$6,Quantity!$C$8:$AH$8,TRUE)</f>
        <v>0</v>
      </c>
      <c r="J536" s="25" cm="1">
        <f t="array" aca="1" ref="J536" ca="1">SUMIFS(CA!$C537:$AQ537,CA!$C$7:$AQ$7,J$6,CA!$C$8:$AQ$8,TRUE)</f>
        <v>0</v>
      </c>
      <c r="K536" s="26" t="str" cm="1">
        <f t="array" ref="K536">IF(SUM(Quantity!O537:Z537)=0,"",SUM(Quantity!O537:Z537))</f>
        <v/>
      </c>
      <c r="L536" s="24" t="str" cm="1">
        <f t="array" ref="L536">IF(SUM(CA!O537:Z537)=0,"",SUM(CA!O537:Z537))</f>
        <v/>
      </c>
      <c r="M536" s="23" t="str" cm="1">
        <f t="array" ref="M536">IF(SUM(Quantity!C537:N537)=0,"",SUM(Quantity!C537:N537))</f>
        <v/>
      </c>
      <c r="N536" s="25" t="str" cm="1">
        <f t="array" ref="N536">IF(SUM(CA!C537:N537)=0,"",SUM(CA!C537:N537))</f>
        <v/>
      </c>
    </row>
    <row r="537" spans="1:14" x14ac:dyDescent="0.25">
      <c r="A537" s="1"/>
      <c r="B537" s="22" cm="1">
        <f t="array" ref="B537">Quantity!B538</f>
        <v>0</v>
      </c>
      <c r="C537" s="23" cm="1">
        <f t="array" ref="C537">Quantity!O538</f>
        <v>0</v>
      </c>
      <c r="D537" s="24" cm="1">
        <f t="array" ref="D537">CA!O538</f>
        <v>0</v>
      </c>
      <c r="E537" s="23" cm="1">
        <f t="array" ref="E537">Quantity!C538</f>
        <v>0</v>
      </c>
      <c r="F537" s="25" cm="1">
        <f t="array" ref="F537">CA!C538</f>
        <v>0</v>
      </c>
      <c r="G537" s="26" cm="1">
        <f t="array" aca="1" ref="G537" ca="1">SUMIFS(Quantity!$C538:$AH538,Quantity!$C$7:$AH$7,H$6,Quantity!$C$8:$AH$8,TRUE)</f>
        <v>0</v>
      </c>
      <c r="H537" s="24" cm="1">
        <f t="array" aca="1" ref="H537" ca="1">SUMIFS(CA!$C538:$AQ538,CA!$C$7:$AQ$7,H$6,CA!$C$8:$AQ$8,TRUE)</f>
        <v>0</v>
      </c>
      <c r="I537" s="23" cm="1">
        <f t="array" aca="1" ref="I537" ca="1">SUMIFS(Quantity!$C538:$AH538,Quantity!$C$7:$AH$7,J$6,Quantity!$C$8:$AH$8,TRUE)</f>
        <v>0</v>
      </c>
      <c r="J537" s="25" cm="1">
        <f t="array" aca="1" ref="J537" ca="1">SUMIFS(CA!$C538:$AQ538,CA!$C$7:$AQ$7,J$6,CA!$C$8:$AQ$8,TRUE)</f>
        <v>0</v>
      </c>
      <c r="K537" s="26" t="str" cm="1">
        <f t="array" ref="K537">IF(SUM(Quantity!O538:Z538)=0,"",SUM(Quantity!O538:Z538))</f>
        <v/>
      </c>
      <c r="L537" s="24" t="str" cm="1">
        <f t="array" ref="L537">IF(SUM(CA!O538:Z538)=0,"",SUM(CA!O538:Z538))</f>
        <v/>
      </c>
      <c r="M537" s="23" t="str" cm="1">
        <f t="array" ref="M537">IF(SUM(Quantity!C538:N538)=0,"",SUM(Quantity!C538:N538))</f>
        <v/>
      </c>
      <c r="N537" s="25" t="str" cm="1">
        <f t="array" ref="N537">IF(SUM(CA!C538:N538)=0,"",SUM(CA!C538:N538))</f>
        <v/>
      </c>
    </row>
    <row r="538" spans="1:14" x14ac:dyDescent="0.25">
      <c r="A538" s="1"/>
      <c r="B538" s="22" cm="1">
        <f t="array" ref="B538">Quantity!B539</f>
        <v>0</v>
      </c>
      <c r="C538" s="23" cm="1">
        <f t="array" ref="C538">Quantity!O539</f>
        <v>0</v>
      </c>
      <c r="D538" s="24" cm="1">
        <f t="array" ref="D538">CA!O539</f>
        <v>0</v>
      </c>
      <c r="E538" s="23" cm="1">
        <f t="array" ref="E538">Quantity!C539</f>
        <v>0</v>
      </c>
      <c r="F538" s="24" cm="1">
        <f t="array" ref="F538">CA!C539</f>
        <v>0</v>
      </c>
      <c r="K538" s="23" t="str" cm="1">
        <f t="array" ref="K538">IF(SUM(Quantity!O539:Z539)=0,"",SUM(Quantity!O539:Z539))</f>
        <v/>
      </c>
      <c r="L538" s="24" t="str" cm="1">
        <f t="array" ref="L538">IF(SUM(CA!O539:Z539)=0,"",SUM(CA!O539:Z539))</f>
        <v/>
      </c>
      <c r="M538" s="23" t="str" cm="1">
        <f t="array" ref="M538">IF(SUM(Quantity!C539:N539)=0,"",SUM(Quantity!C539:N539))</f>
        <v/>
      </c>
      <c r="N538" s="25" t="str" cm="1">
        <f t="array" ref="N538">IF(SUM(CA!C539:N539)=0,"",SUM(CA!C539:N539))</f>
        <v/>
      </c>
    </row>
  </sheetData>
  <mergeCells count="3">
    <mergeCell ref="C5:F5"/>
    <mergeCell ref="K5:N5"/>
    <mergeCell ref="G5:J5"/>
  </mergeCells>
  <hyperlinks>
    <hyperlink ref="B1" r:id="rId1" location="spreadsheet_id=25&amp;cids=1&amp;menu_id=600&amp;action=action_edit_dashboard&amp;active_id=25"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2:I16"/>
  <sheetViews>
    <sheetView workbookViewId="0"/>
  </sheetViews>
  <sheetFormatPr baseColWidth="10" defaultColWidth="13.6640625" defaultRowHeight="13.2" x14ac:dyDescent="0.25"/>
  <cols>
    <col min="1" max="2" width="13.6640625" customWidth="1"/>
    <col min="3" max="3" width="25.33203125" customWidth="1"/>
    <col min="4" max="6" width="13.6640625" customWidth="1"/>
    <col min="7" max="7" width="26" customWidth="1"/>
    <col min="8" max="26" width="13.6640625" customWidth="1"/>
  </cols>
  <sheetData>
    <row r="2" spans="7:9" x14ac:dyDescent="0.25">
      <c r="G2" t="s">
        <v>16</v>
      </c>
    </row>
    <row r="3" spans="7:9" x14ac:dyDescent="0.25">
      <c r="G3" t="s">
        <v>17</v>
      </c>
      <c r="I3" t="s">
        <v>18</v>
      </c>
    </row>
    <row r="4" spans="7:9" x14ac:dyDescent="0.25">
      <c r="G4" t="s">
        <v>19</v>
      </c>
    </row>
    <row r="5" spans="7:9" x14ac:dyDescent="0.25">
      <c r="G5" t="s">
        <v>20</v>
      </c>
    </row>
    <row r="6" spans="7:9" x14ac:dyDescent="0.25">
      <c r="G6" t="s">
        <v>21</v>
      </c>
    </row>
    <row r="7" spans="7:9" x14ac:dyDescent="0.25">
      <c r="G7" t="s">
        <v>22</v>
      </c>
    </row>
    <row r="8" spans="7:9" x14ac:dyDescent="0.25">
      <c r="G8" t="s">
        <v>23</v>
      </c>
    </row>
    <row r="9" spans="7:9" x14ac:dyDescent="0.25">
      <c r="G9" t="s">
        <v>24</v>
      </c>
    </row>
    <row r="10" spans="7:9" x14ac:dyDescent="0.25">
      <c r="G10" t="s">
        <v>25</v>
      </c>
    </row>
    <row r="11" spans="7:9" x14ac:dyDescent="0.25">
      <c r="G11" t="s">
        <v>26</v>
      </c>
    </row>
    <row r="12" spans="7:9" x14ac:dyDescent="0.25">
      <c r="G12" t="s">
        <v>27</v>
      </c>
    </row>
    <row r="13" spans="7:9" x14ac:dyDescent="0.25">
      <c r="G13" t="s">
        <v>28</v>
      </c>
    </row>
    <row r="14" spans="7:9" x14ac:dyDescent="0.25">
      <c r="G14" t="s">
        <v>29</v>
      </c>
    </row>
    <row r="15" spans="7:9" x14ac:dyDescent="0.25">
      <c r="G15" t="s">
        <v>30</v>
      </c>
    </row>
    <row r="16" spans="7:9" x14ac:dyDescent="0.25">
      <c r="G16"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51"/>
  <sheetViews>
    <sheetView workbookViewId="0"/>
  </sheetViews>
  <sheetFormatPr baseColWidth="10" defaultColWidth="13.6640625" defaultRowHeight="13.2" x14ac:dyDescent="0.25"/>
  <cols>
    <col min="1" max="1" width="13.6640625" customWidth="1"/>
    <col min="2" max="2" width="51.44140625" customWidth="1"/>
    <col min="3" max="35" width="13.6640625" customWidth="1"/>
  </cols>
  <sheetData>
    <row r="1" spans="1:35" x14ac:dyDescent="0.25">
      <c r="B1" t="s">
        <v>31</v>
      </c>
      <c r="C1">
        <v>4</v>
      </c>
    </row>
    <row r="2" spans="1:35" x14ac:dyDescent="0.25">
      <c r="B2" t="s">
        <v>32</v>
      </c>
      <c r="C2" t="s">
        <v>33</v>
      </c>
    </row>
    <row r="3" spans="1:35" x14ac:dyDescent="0.25">
      <c r="B3" t="s">
        <v>34</v>
      </c>
      <c r="C3" t="str" cm="1">
        <f t="array" aca="1" ref="C3" ca="1">IF(Dashboard!C2="",TODAY(),Dashboard!C2)</f>
        <v>01/31/2026</v>
      </c>
    </row>
    <row r="4" spans="1:35" x14ac:dyDescent="0.25">
      <c r="B4" t="s">
        <v>35</v>
      </c>
      <c r="C4" t="s">
        <v>36</v>
      </c>
    </row>
    <row r="5" spans="1:35" x14ac:dyDescent="0.25">
      <c r="C5">
        <v>0</v>
      </c>
      <c r="D5">
        <v>1</v>
      </c>
      <c r="E5">
        <v>2</v>
      </c>
      <c r="F5">
        <v>3</v>
      </c>
      <c r="G5">
        <v>4</v>
      </c>
      <c r="H5">
        <v>5</v>
      </c>
      <c r="I5">
        <v>6</v>
      </c>
      <c r="J5">
        <v>7</v>
      </c>
      <c r="K5">
        <v>8</v>
      </c>
      <c r="L5">
        <v>9</v>
      </c>
      <c r="M5">
        <v>10</v>
      </c>
      <c r="N5">
        <v>11</v>
      </c>
      <c r="O5">
        <v>12</v>
      </c>
      <c r="P5">
        <v>13</v>
      </c>
      <c r="Q5">
        <v>14</v>
      </c>
      <c r="R5">
        <v>15</v>
      </c>
      <c r="S5">
        <v>16</v>
      </c>
      <c r="T5">
        <v>17</v>
      </c>
      <c r="U5">
        <v>18</v>
      </c>
      <c r="V5">
        <v>19</v>
      </c>
      <c r="W5">
        <v>20</v>
      </c>
      <c r="X5">
        <v>21</v>
      </c>
      <c r="Y5">
        <v>22</v>
      </c>
      <c r="Z5">
        <v>23</v>
      </c>
      <c r="AA5">
        <v>24</v>
      </c>
      <c r="AB5">
        <v>25</v>
      </c>
      <c r="AC5">
        <v>26</v>
      </c>
      <c r="AD5">
        <v>27</v>
      </c>
      <c r="AE5">
        <v>28</v>
      </c>
      <c r="AF5">
        <v>29</v>
      </c>
      <c r="AG5">
        <v>30</v>
      </c>
      <c r="AH5">
        <v>31</v>
      </c>
    </row>
    <row r="6" spans="1:35" x14ac:dyDescent="0.25">
      <c r="B6" t="s">
        <v>37</v>
      </c>
      <c r="C6" t="e" cm="1">
        <f t="array" aca="1" ref="C6" ca="1">TEXT(MONTH(EDATE($C$3,-C5)),"00")&amp;"/"&amp;YEAR(EDATE($C$3,-C5))</f>
        <v>#VALUE!</v>
      </c>
      <c r="D6" t="e" cm="1">
        <f t="array" aca="1" ref="D6" ca="1">TEXT(MONTH(EDATE($C$3,-D5)),"00")&amp;"/"&amp;YEAR(EDATE($C$3,-D5))</f>
        <v>#VALUE!</v>
      </c>
      <c r="E6" t="e" cm="1">
        <f t="array" aca="1" ref="E6" ca="1">TEXT(MONTH(EDATE($C$3,-E5)),"00")&amp;"/"&amp;YEAR(EDATE($C$3,-E5))</f>
        <v>#VALUE!</v>
      </c>
      <c r="F6" t="e" cm="1">
        <f t="array" aca="1" ref="F6" ca="1">TEXT(MONTH(EDATE($C$3,-F5)),"00")&amp;"/"&amp;YEAR(EDATE($C$3,-F5))</f>
        <v>#VALUE!</v>
      </c>
      <c r="G6" t="e" cm="1">
        <f t="array" aca="1" ref="G6" ca="1">TEXT(MONTH(EDATE($C$3,-G5)),"00")&amp;"/"&amp;YEAR(EDATE($C$3,-G5))</f>
        <v>#VALUE!</v>
      </c>
      <c r="H6" t="e" cm="1">
        <f t="array" aca="1" ref="H6" ca="1">TEXT(MONTH(EDATE($C$3,-H5)),"00")&amp;"/"&amp;YEAR(EDATE($C$3,-H5))</f>
        <v>#VALUE!</v>
      </c>
      <c r="I6" t="e" cm="1">
        <f t="array" aca="1" ref="I6" ca="1">TEXT(MONTH(EDATE($C$3,-I5)),"00")&amp;"/"&amp;YEAR(EDATE($C$3,-I5))</f>
        <v>#VALUE!</v>
      </c>
      <c r="J6" t="e" cm="1">
        <f t="array" aca="1" ref="J6" ca="1">TEXT(MONTH(EDATE($C$3,-J5)),"00")&amp;"/"&amp;YEAR(EDATE($C$3,-J5))</f>
        <v>#VALUE!</v>
      </c>
      <c r="K6" t="e" cm="1">
        <f t="array" aca="1" ref="K6" ca="1">TEXT(MONTH(EDATE($C$3,-K5)),"00")&amp;"/"&amp;YEAR(EDATE($C$3,-K5))</f>
        <v>#VALUE!</v>
      </c>
      <c r="L6" t="e" cm="1">
        <f t="array" aca="1" ref="L6" ca="1">TEXT(MONTH(EDATE($C$3,-L5)),"00")&amp;"/"&amp;YEAR(EDATE($C$3,-L5))</f>
        <v>#VALUE!</v>
      </c>
      <c r="M6" t="e" cm="1">
        <f t="array" aca="1" ref="M6" ca="1">TEXT(MONTH(EDATE($C$3,-M5)),"00")&amp;"/"&amp;YEAR(EDATE($C$3,-M5))</f>
        <v>#VALUE!</v>
      </c>
      <c r="N6" t="e" cm="1">
        <f t="array" aca="1" ref="N6" ca="1">TEXT(MONTH(EDATE($C$3,-N5)),"00")&amp;"/"&amp;YEAR(EDATE($C$3,-N5))</f>
        <v>#VALUE!</v>
      </c>
      <c r="O6" t="e" cm="1">
        <f t="array" aca="1" ref="O6" ca="1">TEXT(MONTH(EDATE($C$3,-O5)),"00")&amp;"/"&amp;YEAR(EDATE($C$3,-O5))</f>
        <v>#VALUE!</v>
      </c>
      <c r="P6" t="e" cm="1">
        <f t="array" aca="1" ref="P6" ca="1">TEXT(MONTH(EDATE($C$3,-P5)),"00")&amp;"/"&amp;YEAR(EDATE($C$3,-P5))</f>
        <v>#VALUE!</v>
      </c>
      <c r="Q6" t="e" cm="1">
        <f t="array" aca="1" ref="Q6" ca="1">TEXT(MONTH(EDATE($C$3,-Q5)),"00")&amp;"/"&amp;YEAR(EDATE($C$3,-Q5))</f>
        <v>#VALUE!</v>
      </c>
      <c r="R6" t="e" cm="1">
        <f t="array" aca="1" ref="R6" ca="1">TEXT(MONTH(EDATE($C$3,-R5)),"00")&amp;"/"&amp;YEAR(EDATE($C$3,-R5))</f>
        <v>#VALUE!</v>
      </c>
      <c r="S6" t="e" cm="1">
        <f t="array" aca="1" ref="S6" ca="1">TEXT(MONTH(EDATE($C$3,-S5)),"00")&amp;"/"&amp;YEAR(EDATE($C$3,-S5))</f>
        <v>#VALUE!</v>
      </c>
      <c r="T6" t="e" cm="1">
        <f t="array" aca="1" ref="T6" ca="1">TEXT(MONTH(EDATE($C$3,-T5)),"00")&amp;"/"&amp;YEAR(EDATE($C$3,-T5))</f>
        <v>#VALUE!</v>
      </c>
      <c r="U6" t="e" cm="1">
        <f t="array" aca="1" ref="U6" ca="1">TEXT(MONTH(EDATE($C$3,-U5)),"00")&amp;"/"&amp;YEAR(EDATE($C$3,-U5))</f>
        <v>#VALUE!</v>
      </c>
      <c r="V6" t="e" cm="1">
        <f t="array" aca="1" ref="V6" ca="1">TEXT(MONTH(EDATE($C$3,-V5)),"00")&amp;"/"&amp;YEAR(EDATE($C$3,-V5))</f>
        <v>#VALUE!</v>
      </c>
      <c r="W6" t="e" cm="1">
        <f t="array" aca="1" ref="W6" ca="1">TEXT(MONTH(EDATE($C$3,-W5)),"00")&amp;"/"&amp;YEAR(EDATE($C$3,-W5))</f>
        <v>#VALUE!</v>
      </c>
      <c r="X6" t="e" cm="1">
        <f t="array" aca="1" ref="X6" ca="1">TEXT(MONTH(EDATE($C$3,-X5)),"00")&amp;"/"&amp;YEAR(EDATE($C$3,-X5))</f>
        <v>#VALUE!</v>
      </c>
      <c r="Y6" t="e" cm="1">
        <f t="array" aca="1" ref="Y6" ca="1">TEXT(MONTH(EDATE($C$3,-Y5)),"00")&amp;"/"&amp;YEAR(EDATE($C$3,-Y5))</f>
        <v>#VALUE!</v>
      </c>
      <c r="Z6" t="e" cm="1">
        <f t="array" aca="1" ref="Z6" ca="1">TEXT(MONTH(EDATE($C$3,-Z5)),"00")&amp;"/"&amp;YEAR(EDATE($C$3,-Z5))</f>
        <v>#VALUE!</v>
      </c>
      <c r="AA6" t="e" cm="1">
        <f t="array" aca="1" ref="AA6" ca="1">TEXT(MONTH(EDATE($C$3,-AA5)),"00")&amp;"/"&amp;YEAR(EDATE($C$3,-AA5))</f>
        <v>#VALUE!</v>
      </c>
      <c r="AB6" t="e" cm="1">
        <f t="array" aca="1" ref="AB6" ca="1">TEXT(MONTH(EDATE($C$3,-AB5)),"00")&amp;"/"&amp;YEAR(EDATE($C$3,-AB5))</f>
        <v>#VALUE!</v>
      </c>
      <c r="AC6" t="e" cm="1">
        <f t="array" aca="1" ref="AC6" ca="1">TEXT(MONTH(EDATE($C$3,-AC5)),"00")&amp;"/"&amp;YEAR(EDATE($C$3,-AC5))</f>
        <v>#VALUE!</v>
      </c>
      <c r="AD6" t="e" cm="1">
        <f t="array" aca="1" ref="AD6" ca="1">TEXT(MONTH(EDATE($C$3,-AD5)),"00")&amp;"/"&amp;YEAR(EDATE($C$3,-AD5))</f>
        <v>#VALUE!</v>
      </c>
      <c r="AE6" t="e" cm="1">
        <f t="array" aca="1" ref="AE6" ca="1">TEXT(MONTH(EDATE($C$3,-AE5)),"00")&amp;"/"&amp;YEAR(EDATE($C$3,-AE5))</f>
        <v>#VALUE!</v>
      </c>
      <c r="AF6" t="e" cm="1">
        <f t="array" aca="1" ref="AF6" ca="1">TEXT(MONTH(EDATE($C$3,-AF5)),"00")&amp;"/"&amp;YEAR(EDATE($C$3,-AF5))</f>
        <v>#VALUE!</v>
      </c>
      <c r="AG6" t="e" cm="1">
        <f t="array" aca="1" ref="AG6" ca="1">TEXT(MONTH(EDATE($C$3,-AG5)),"00")&amp;"/"&amp;YEAR(EDATE($C$3,-AG5))</f>
        <v>#VALUE!</v>
      </c>
      <c r="AH6" t="e" cm="1">
        <f t="array" aca="1" ref="AH6" ca="1">TEXT(MONTH(EDATE($C$3,-AH5)),"00")&amp;"/"&amp;YEAR(EDATE($C$3,-AH5))</f>
        <v>#VALUE!</v>
      </c>
    </row>
    <row r="7" spans="1:35" x14ac:dyDescent="0.25">
      <c r="B7" t="s">
        <v>38</v>
      </c>
      <c r="C7" t="e" cm="1">
        <f t="array" aca="1" ref="C7" ca="1">"09/"&amp;YEAR(EDATE($C$3,-C5-8))</f>
        <v>#VALUE!</v>
      </c>
      <c r="D7" t="e" cm="1">
        <f t="array" aca="1" ref="D7" ca="1">"09/"&amp;YEAR(EDATE($C$3,-D5-8))</f>
        <v>#VALUE!</v>
      </c>
      <c r="E7" t="e" cm="1">
        <f t="array" aca="1" ref="E7" ca="1">"09/"&amp;YEAR(EDATE($C$3,-E5-8))</f>
        <v>#VALUE!</v>
      </c>
      <c r="F7" t="e" cm="1">
        <f t="array" aca="1" ref="F7" ca="1">"09/"&amp;YEAR(EDATE($C$3,-F5-8))</f>
        <v>#VALUE!</v>
      </c>
      <c r="G7" t="e" cm="1">
        <f t="array" aca="1" ref="G7" ca="1">"09/"&amp;YEAR(EDATE($C$3,-G5-8))</f>
        <v>#VALUE!</v>
      </c>
      <c r="H7" t="e" cm="1">
        <f t="array" aca="1" ref="H7" ca="1">"09/"&amp;YEAR(EDATE($C$3,-H5-8))</f>
        <v>#VALUE!</v>
      </c>
      <c r="I7" t="e" cm="1">
        <f t="array" aca="1" ref="I7" ca="1">"09/"&amp;YEAR(EDATE($C$3,-I5-8))</f>
        <v>#VALUE!</v>
      </c>
      <c r="J7" t="e" cm="1">
        <f t="array" aca="1" ref="J7" ca="1">"09/"&amp;YEAR(EDATE($C$3,-J5-8))</f>
        <v>#VALUE!</v>
      </c>
      <c r="K7" t="e" cm="1">
        <f t="array" aca="1" ref="K7" ca="1">"09/"&amp;YEAR(EDATE($C$3,-K5-8))</f>
        <v>#VALUE!</v>
      </c>
      <c r="L7" t="e" cm="1">
        <f t="array" aca="1" ref="L7" ca="1">"09/"&amp;YEAR(EDATE($C$3,-L5-8))</f>
        <v>#VALUE!</v>
      </c>
      <c r="M7" t="e" cm="1">
        <f t="array" aca="1" ref="M7" ca="1">"09/"&amp;YEAR(EDATE($C$3,-M5-8))</f>
        <v>#VALUE!</v>
      </c>
      <c r="N7" t="e" cm="1">
        <f t="array" aca="1" ref="N7" ca="1">"09/"&amp;YEAR(EDATE($C$3,-N5-8))</f>
        <v>#VALUE!</v>
      </c>
      <c r="O7" t="e" cm="1">
        <f t="array" aca="1" ref="O7" ca="1">"09/"&amp;YEAR(EDATE($C$3,-O5-8))</f>
        <v>#VALUE!</v>
      </c>
      <c r="P7" t="e" cm="1">
        <f t="array" aca="1" ref="P7" ca="1">"09/"&amp;YEAR(EDATE($C$3,-P5-8))</f>
        <v>#VALUE!</v>
      </c>
      <c r="Q7" t="e" cm="1">
        <f t="array" aca="1" ref="Q7" ca="1">"09/"&amp;YEAR(EDATE($C$3,-Q5-8))</f>
        <v>#VALUE!</v>
      </c>
      <c r="R7" t="e" cm="1">
        <f t="array" aca="1" ref="R7" ca="1">"09/"&amp;YEAR(EDATE($C$3,-R5-8))</f>
        <v>#VALUE!</v>
      </c>
      <c r="S7" t="e" cm="1">
        <f t="array" aca="1" ref="S7" ca="1">"09/"&amp;YEAR(EDATE($C$3,-S5-8))</f>
        <v>#VALUE!</v>
      </c>
      <c r="T7" t="e" cm="1">
        <f t="array" aca="1" ref="T7" ca="1">"09/"&amp;YEAR(EDATE($C$3,-T5-8))</f>
        <v>#VALUE!</v>
      </c>
      <c r="U7" t="e" cm="1">
        <f t="array" aca="1" ref="U7" ca="1">"09/"&amp;YEAR(EDATE($C$3,-U5-8))</f>
        <v>#VALUE!</v>
      </c>
      <c r="V7" t="e" cm="1">
        <f t="array" aca="1" ref="V7" ca="1">"09/"&amp;YEAR(EDATE($C$3,-V5-8))</f>
        <v>#VALUE!</v>
      </c>
      <c r="W7" t="e" cm="1">
        <f t="array" aca="1" ref="W7" ca="1">"09/"&amp;YEAR(EDATE($C$3,-W5-8))</f>
        <v>#VALUE!</v>
      </c>
      <c r="X7" t="e" cm="1">
        <f t="array" aca="1" ref="X7" ca="1">"09/"&amp;YEAR(EDATE($C$3,-X5-8))</f>
        <v>#VALUE!</v>
      </c>
      <c r="Y7" t="e" cm="1">
        <f t="array" aca="1" ref="Y7" ca="1">"09/"&amp;YEAR(EDATE($C$3,-Y5-8))</f>
        <v>#VALUE!</v>
      </c>
      <c r="Z7" t="e" cm="1">
        <f t="array" aca="1" ref="Z7" ca="1">"09/"&amp;YEAR(EDATE($C$3,-Z5-8))</f>
        <v>#VALUE!</v>
      </c>
      <c r="AA7" t="e" cm="1">
        <f t="array" aca="1" ref="AA7" ca="1">"09/"&amp;YEAR(EDATE($C$3,-AA5-8))</f>
        <v>#VALUE!</v>
      </c>
      <c r="AB7" t="e" cm="1">
        <f t="array" aca="1" ref="AB7" ca="1">"09/"&amp;YEAR(EDATE($C$3,-AB5-8))</f>
        <v>#VALUE!</v>
      </c>
      <c r="AC7" t="e" cm="1">
        <f t="array" aca="1" ref="AC7" ca="1">"09/"&amp;YEAR(EDATE($C$3,-AC5-8))</f>
        <v>#VALUE!</v>
      </c>
      <c r="AD7" t="e" cm="1">
        <f t="array" aca="1" ref="AD7" ca="1">"09/"&amp;YEAR(EDATE($C$3,-AD5-8))</f>
        <v>#VALUE!</v>
      </c>
      <c r="AE7" t="e" cm="1">
        <f t="array" aca="1" ref="AE7" ca="1">"09/"&amp;YEAR(EDATE($C$3,-AE5-8))</f>
        <v>#VALUE!</v>
      </c>
      <c r="AF7" t="e" cm="1">
        <f t="array" aca="1" ref="AF7" ca="1">"09/"&amp;YEAR(EDATE($C$3,-AF5-8))</f>
        <v>#VALUE!</v>
      </c>
      <c r="AG7" t="e" cm="1">
        <f t="array" aca="1" ref="AG7" ca="1">"09/"&amp;YEAR(EDATE($C$3,-AG5-8))</f>
        <v>#VALUE!</v>
      </c>
      <c r="AH7" t="e" cm="1">
        <f t="array" aca="1" ref="AH7" ca="1">"09/"&amp;YEAR(EDATE($C$3,-AH5-8))</f>
        <v>#VALUE!</v>
      </c>
    </row>
    <row r="8" spans="1:35" x14ac:dyDescent="0.25">
      <c r="B8" t="s">
        <v>39</v>
      </c>
      <c r="C8" t="e" cm="1">
        <f t="array" aca="1" ref="C8" ca="1">IF(MONTH(EDATE($C$3,-$C$5+4))-MONTH(EDATE($C$3,-C5+4))&gt;=0,TRUE,FALSE)</f>
        <v>#VALUE!</v>
      </c>
      <c r="D8" t="e" cm="1">
        <f t="array" aca="1" ref="D8" ca="1">IF(MONTH(EDATE($C$3,-$C$5+4))-MONTH(EDATE($C$3,-D5+4))&gt;=0,TRUE,FALSE)</f>
        <v>#VALUE!</v>
      </c>
      <c r="E8" t="e" cm="1">
        <f t="array" aca="1" ref="E8" ca="1">IF(MONTH(EDATE($C$3,-$C$5+4))-MONTH(EDATE($C$3,-E5+4))&gt;=0,TRUE,FALSE)</f>
        <v>#VALUE!</v>
      </c>
      <c r="F8" t="e" cm="1">
        <f t="array" aca="1" ref="F8" ca="1">IF(MONTH(EDATE($C$3,-$C$5+4))-MONTH(EDATE($C$3,-F5+4))&gt;=0,TRUE,FALSE)</f>
        <v>#VALUE!</v>
      </c>
      <c r="G8" t="e" cm="1">
        <f t="array" aca="1" ref="G8" ca="1">IF(MONTH(EDATE($C$3,-$C$5+4))-MONTH(EDATE($C$3,-G5+4))&gt;=0,TRUE,FALSE)</f>
        <v>#VALUE!</v>
      </c>
      <c r="H8" t="e" cm="1">
        <f t="array" aca="1" ref="H8" ca="1">IF(MONTH(EDATE($C$3,-$C$5+4))-MONTH(EDATE($C$3,-H5+4))&gt;=0,TRUE,FALSE)</f>
        <v>#VALUE!</v>
      </c>
      <c r="I8" t="e" cm="1">
        <f t="array" aca="1" ref="I8" ca="1">IF(MONTH(EDATE($C$3,-$C$5+4))-MONTH(EDATE($C$3,-I5+4))&gt;=0,TRUE,FALSE)</f>
        <v>#VALUE!</v>
      </c>
      <c r="J8" t="e" cm="1">
        <f t="array" aca="1" ref="J8" ca="1">IF(MONTH(EDATE($C$3,-$C$5+4))-MONTH(EDATE($C$3,-J5+4))&gt;=0,TRUE,FALSE)</f>
        <v>#VALUE!</v>
      </c>
      <c r="K8" t="e" cm="1">
        <f t="array" aca="1" ref="K8" ca="1">IF(MONTH(EDATE($C$3,-$C$5+4))-MONTH(EDATE($C$3,-K5+4))&gt;=0,TRUE,FALSE)</f>
        <v>#VALUE!</v>
      </c>
      <c r="L8" t="e" cm="1">
        <f t="array" aca="1" ref="L8" ca="1">IF(MONTH(EDATE($C$3,-$C$5+4))-MONTH(EDATE($C$3,-L5+4))&gt;=0,TRUE,FALSE)</f>
        <v>#VALUE!</v>
      </c>
      <c r="M8" t="e" cm="1">
        <f t="array" aca="1" ref="M8" ca="1">IF(MONTH(EDATE($C$3,-$C$5+4))-MONTH(EDATE($C$3,-M5+4))&gt;=0,TRUE,FALSE)</f>
        <v>#VALUE!</v>
      </c>
      <c r="N8" t="e" cm="1">
        <f t="array" aca="1" ref="N8" ca="1">IF(MONTH(EDATE($C$3,-$C$5+4))-MONTH(EDATE($C$3,-N5+4))&gt;=0,TRUE,FALSE)</f>
        <v>#VALUE!</v>
      </c>
      <c r="O8" t="e" cm="1">
        <f t="array" aca="1" ref="O8" ca="1">IF(MONTH(EDATE($C$3,-$C$5+4))-MONTH(EDATE($C$3,-O5+4))&gt;=0,TRUE,FALSE)</f>
        <v>#VALUE!</v>
      </c>
      <c r="P8" t="e" cm="1">
        <f t="array" aca="1" ref="P8" ca="1">IF(MONTH(EDATE($C$3,-$C$5+4))-MONTH(EDATE($C$3,-P5+4))&gt;=0,TRUE,FALSE)</f>
        <v>#VALUE!</v>
      </c>
      <c r="Q8" t="e" cm="1">
        <f t="array" aca="1" ref="Q8" ca="1">IF(MONTH(EDATE($C$3,-$C$5+4))-MONTH(EDATE($C$3,-Q5+4))&gt;=0,TRUE,FALSE)</f>
        <v>#VALUE!</v>
      </c>
      <c r="R8" t="e" cm="1">
        <f t="array" aca="1" ref="R8" ca="1">IF(MONTH(EDATE($C$3,-$C$5+4))-MONTH(EDATE($C$3,-R5+4))&gt;=0,TRUE,FALSE)</f>
        <v>#VALUE!</v>
      </c>
      <c r="S8" t="e" cm="1">
        <f t="array" aca="1" ref="S8" ca="1">IF(MONTH(EDATE($C$3,-$C$5+4))-MONTH(EDATE($C$3,-S5+4))&gt;=0,TRUE,FALSE)</f>
        <v>#VALUE!</v>
      </c>
      <c r="T8" t="e" cm="1">
        <f t="array" aca="1" ref="T8" ca="1">IF(MONTH(EDATE($C$3,-$C$5+4))-MONTH(EDATE($C$3,-T5+4))&gt;=0,TRUE,FALSE)</f>
        <v>#VALUE!</v>
      </c>
      <c r="U8" t="e" cm="1">
        <f t="array" aca="1" ref="U8" ca="1">IF(MONTH(EDATE($C$3,-$C$5+4))-MONTH(EDATE($C$3,-U5+4))&gt;=0,TRUE,FALSE)</f>
        <v>#VALUE!</v>
      </c>
      <c r="V8" t="e" cm="1">
        <f t="array" aca="1" ref="V8" ca="1">IF(MONTH(EDATE($C$3,-$C$5+4))-MONTH(EDATE($C$3,-V5+4))&gt;=0,TRUE,FALSE)</f>
        <v>#VALUE!</v>
      </c>
      <c r="W8" t="e" cm="1">
        <f t="array" aca="1" ref="W8" ca="1">IF(MONTH(EDATE($C$3,-$C$5+4))-MONTH(EDATE($C$3,-W5+4))&gt;=0,TRUE,FALSE)</f>
        <v>#VALUE!</v>
      </c>
      <c r="X8" t="e" cm="1">
        <f t="array" aca="1" ref="X8" ca="1">IF(MONTH(EDATE($C$3,-$C$5+4))-MONTH(EDATE($C$3,-X5+4))&gt;=0,TRUE,FALSE)</f>
        <v>#VALUE!</v>
      </c>
      <c r="Y8" t="e" cm="1">
        <f t="array" aca="1" ref="Y8" ca="1">IF(MONTH(EDATE($C$3,-$C$5+4))-MONTH(EDATE($C$3,-Y5+4))&gt;=0,TRUE,FALSE)</f>
        <v>#VALUE!</v>
      </c>
      <c r="Z8" t="e" cm="1">
        <f t="array" aca="1" ref="Z8" ca="1">IF(MONTH(EDATE($C$3,-$C$5+4))-MONTH(EDATE($C$3,-Z5+4))&gt;=0,TRUE,FALSE)</f>
        <v>#VALUE!</v>
      </c>
      <c r="AA8" t="e" cm="1">
        <f t="array" aca="1" ref="AA8" ca="1">IF(MONTH(EDATE($C$3,-$C$5+4))-MONTH(EDATE($C$3,-AA5+4))&gt;=0,TRUE,FALSE)</f>
        <v>#VALUE!</v>
      </c>
      <c r="AB8" t="e" cm="1">
        <f t="array" aca="1" ref="AB8" ca="1">IF(MONTH(EDATE($C$3,-$C$5+4))-MONTH(EDATE($C$3,-AB5+4))&gt;=0,TRUE,FALSE)</f>
        <v>#VALUE!</v>
      </c>
      <c r="AC8" t="e" cm="1">
        <f t="array" aca="1" ref="AC8" ca="1">IF(MONTH(EDATE($C$3,-$C$5+4))-MONTH(EDATE($C$3,-AC5+4))&gt;=0,TRUE,FALSE)</f>
        <v>#VALUE!</v>
      </c>
      <c r="AD8" t="e" cm="1">
        <f t="array" aca="1" ref="AD8" ca="1">IF(MONTH(EDATE($C$3,-$C$5+4))-MONTH(EDATE($C$3,-AD5+4))&gt;=0,TRUE,FALSE)</f>
        <v>#VALUE!</v>
      </c>
      <c r="AE8" t="e" cm="1">
        <f t="array" aca="1" ref="AE8" ca="1">IF(MONTH(EDATE($C$3,-$C$5+4))-MONTH(EDATE($C$3,-AE5+4))&gt;=0,TRUE,FALSE)</f>
        <v>#VALUE!</v>
      </c>
      <c r="AF8" t="e" cm="1">
        <f t="array" aca="1" ref="AF8" ca="1">IF(MONTH(EDATE($C$3,-$C$5+4))-MONTH(EDATE($C$3,-AF5+4))&gt;=0,TRUE,FALSE)</f>
        <v>#VALUE!</v>
      </c>
      <c r="AG8" t="e" cm="1">
        <f t="array" aca="1" ref="AG8" ca="1">IF(MONTH(EDATE($C$3,-$C$5+4))-MONTH(EDATE($C$3,-AG5+4))&gt;=0,TRUE,FALSE)</f>
        <v>#VALUE!</v>
      </c>
      <c r="AH8" t="e" cm="1">
        <f t="array" aca="1" ref="AH8" ca="1">IF(MONTH(EDATE($C$3,-$C$5+4))-MONTH(EDATE($C$3,-AH5+4))&gt;=0,TRUE,FALSE)</f>
        <v>#VALUE!</v>
      </c>
    </row>
    <row r="9" spans="1:35" x14ac:dyDescent="0.25">
      <c r="C9" t="str" cm="1">
        <f t="array" ref="C9">$C$2</f>
        <v>balance</v>
      </c>
      <c r="D9" t="str" cm="1">
        <f t="array" ref="D9">$C$2</f>
        <v>balance</v>
      </c>
      <c r="E9" t="str" cm="1">
        <f t="array" ref="E9">$C$2</f>
        <v>balance</v>
      </c>
      <c r="F9" t="str" cm="1">
        <f t="array" ref="F9">$C$2</f>
        <v>balance</v>
      </c>
      <c r="G9" t="str" cm="1">
        <f t="array" ref="G9">$C$2</f>
        <v>balance</v>
      </c>
      <c r="H9" t="str" cm="1">
        <f t="array" ref="H9">$C$2</f>
        <v>balance</v>
      </c>
      <c r="I9" t="str" cm="1">
        <f t="array" ref="I9">$C$2</f>
        <v>balance</v>
      </c>
      <c r="J9" t="str" cm="1">
        <f t="array" ref="J9">$C$2</f>
        <v>balance</v>
      </c>
      <c r="K9" t="str" cm="1">
        <f t="array" ref="K9">$C$2</f>
        <v>balance</v>
      </c>
      <c r="L9" t="str" cm="1">
        <f t="array" ref="L9">$C$2</f>
        <v>balance</v>
      </c>
      <c r="M9" t="str" cm="1">
        <f t="array" ref="M9">$C$2</f>
        <v>balance</v>
      </c>
      <c r="N9" t="str" cm="1">
        <f t="array" ref="N9">$C$2</f>
        <v>balance</v>
      </c>
      <c r="O9" t="str" cm="1">
        <f t="array" ref="O9">$C$2</f>
        <v>balance</v>
      </c>
      <c r="P9" t="str" cm="1">
        <f t="array" ref="P9">$C$2</f>
        <v>balance</v>
      </c>
      <c r="Q9" t="str" cm="1">
        <f t="array" ref="Q9">$C$2</f>
        <v>balance</v>
      </c>
      <c r="R9" t="str" cm="1">
        <f t="array" ref="R9">$C$2</f>
        <v>balance</v>
      </c>
      <c r="S9" t="str" cm="1">
        <f t="array" ref="S9">$C$2</f>
        <v>balance</v>
      </c>
      <c r="T9" t="str" cm="1">
        <f t="array" ref="T9">$C$2</f>
        <v>balance</v>
      </c>
      <c r="U9" t="str" cm="1">
        <f t="array" ref="U9">$C$2</f>
        <v>balance</v>
      </c>
      <c r="V9" t="str" cm="1">
        <f t="array" ref="V9">$C$2</f>
        <v>balance</v>
      </c>
      <c r="W9" t="str" cm="1">
        <f t="array" ref="W9">$C$2</f>
        <v>balance</v>
      </c>
      <c r="X9" t="str" cm="1">
        <f t="array" ref="X9">$C$2</f>
        <v>balance</v>
      </c>
      <c r="Y9" t="str" cm="1">
        <f t="array" ref="Y9">$C$2</f>
        <v>balance</v>
      </c>
      <c r="Z9" t="str" cm="1">
        <f t="array" ref="Z9">$C$2</f>
        <v>balance</v>
      </c>
      <c r="AA9" t="str" cm="1">
        <f t="array" ref="AA9">$C$2</f>
        <v>balance</v>
      </c>
      <c r="AB9" t="str" cm="1">
        <f t="array" ref="AB9">$C$2</f>
        <v>balance</v>
      </c>
      <c r="AC9" t="str" cm="1">
        <f t="array" ref="AC9">$C$2</f>
        <v>balance</v>
      </c>
      <c r="AD9" t="str" cm="1">
        <f t="array" ref="AD9">$C$2</f>
        <v>balance</v>
      </c>
      <c r="AE9" t="str" cm="1">
        <f t="array" ref="AE9">$C$2</f>
        <v>balance</v>
      </c>
      <c r="AF9" t="str" cm="1">
        <f t="array" ref="AF9">$C$2</f>
        <v>balance</v>
      </c>
      <c r="AG9" t="str" cm="1">
        <f t="array" ref="AG9">$C$2</f>
        <v>balance</v>
      </c>
      <c r="AH9" t="str" cm="1">
        <f t="array" ref="AH9">$C$2</f>
        <v>balance</v>
      </c>
      <c r="AI9" t="str" cm="1">
        <f t="array" ref="AI9">$C$2</f>
        <v>balance</v>
      </c>
    </row>
    <row r="10" spans="1:35" x14ac:dyDescent="0.25">
      <c r="A10">
        <v>1</v>
      </c>
      <c r="B10" t="s">
        <v>40</v>
      </c>
      <c r="C10" s="37">
        <v>0</v>
      </c>
      <c r="D10" s="37">
        <v>185</v>
      </c>
      <c r="E10" s="37">
        <v>0</v>
      </c>
      <c r="F10" s="37">
        <v>0</v>
      </c>
      <c r="G10" s="37">
        <v>0</v>
      </c>
      <c r="H10" s="37">
        <v>0</v>
      </c>
      <c r="I10" s="37">
        <v>0</v>
      </c>
      <c r="J10" s="37">
        <v>0</v>
      </c>
      <c r="K10" s="37">
        <v>0</v>
      </c>
      <c r="L10" s="37">
        <v>0</v>
      </c>
      <c r="M10" s="37">
        <v>0</v>
      </c>
      <c r="N10" s="37">
        <v>0</v>
      </c>
      <c r="O10" s="37">
        <v>0</v>
      </c>
      <c r="P10" s="37">
        <v>0</v>
      </c>
      <c r="Q10" s="37">
        <v>0</v>
      </c>
      <c r="R10" s="37">
        <v>0</v>
      </c>
      <c r="S10" s="37">
        <v>0</v>
      </c>
      <c r="T10" s="37">
        <v>0</v>
      </c>
      <c r="U10" s="37">
        <v>0</v>
      </c>
      <c r="V10" s="37">
        <v>0</v>
      </c>
      <c r="W10" s="37">
        <v>0</v>
      </c>
      <c r="X10" s="37">
        <v>0</v>
      </c>
      <c r="Y10" s="37">
        <v>0</v>
      </c>
      <c r="Z10" s="37">
        <v>0</v>
      </c>
      <c r="AA10" s="37">
        <v>0</v>
      </c>
      <c r="AB10" s="37">
        <v>0</v>
      </c>
      <c r="AC10" s="37">
        <v>0</v>
      </c>
      <c r="AD10" s="37">
        <v>0</v>
      </c>
      <c r="AE10" s="37">
        <v>0</v>
      </c>
      <c r="AF10" s="37">
        <v>0</v>
      </c>
      <c r="AG10" s="37">
        <v>0</v>
      </c>
      <c r="AH10" s="37">
        <v>0</v>
      </c>
      <c r="AI10" cm="1">
        <f t="array" ref="AI10">SUM(C10:AH10)</f>
        <v>185</v>
      </c>
    </row>
    <row r="11" spans="1:35" x14ac:dyDescent="0.25">
      <c r="A11">
        <v>2</v>
      </c>
      <c r="B11" t="s">
        <v>41</v>
      </c>
      <c r="C11" s="37">
        <v>0</v>
      </c>
      <c r="D11" s="37">
        <v>0</v>
      </c>
      <c r="E11" s="37">
        <v>0</v>
      </c>
      <c r="F11" s="37">
        <v>0</v>
      </c>
      <c r="G11" s="37">
        <v>0</v>
      </c>
      <c r="H11" s="37">
        <v>0</v>
      </c>
      <c r="I11" s="37">
        <v>0</v>
      </c>
      <c r="J11" s="37">
        <v>0</v>
      </c>
      <c r="K11" s="37">
        <v>0</v>
      </c>
      <c r="L11" s="37">
        <v>0</v>
      </c>
      <c r="M11" s="37">
        <v>0</v>
      </c>
      <c r="N11" s="37">
        <v>0</v>
      </c>
      <c r="O11" s="37">
        <v>0</v>
      </c>
      <c r="P11" s="37">
        <v>0</v>
      </c>
      <c r="Q11" s="37">
        <v>0</v>
      </c>
      <c r="R11" s="37">
        <v>0</v>
      </c>
      <c r="S11" s="37">
        <v>0</v>
      </c>
      <c r="T11" s="37">
        <v>0</v>
      </c>
      <c r="U11" s="37">
        <v>0</v>
      </c>
      <c r="V11" s="37">
        <v>0</v>
      </c>
      <c r="W11" s="37">
        <v>0</v>
      </c>
      <c r="X11" s="37">
        <v>0</v>
      </c>
      <c r="Y11" s="37">
        <v>0</v>
      </c>
      <c r="Z11" s="37">
        <v>0</v>
      </c>
      <c r="AA11" s="37">
        <v>0</v>
      </c>
      <c r="AB11" s="37">
        <v>0</v>
      </c>
      <c r="AC11" s="37">
        <v>0</v>
      </c>
      <c r="AD11" s="37">
        <v>0</v>
      </c>
      <c r="AE11" s="37">
        <v>0</v>
      </c>
      <c r="AF11" s="37">
        <v>0</v>
      </c>
      <c r="AG11" s="37">
        <v>0</v>
      </c>
      <c r="AH11" s="37">
        <v>0</v>
      </c>
      <c r="AI11" cm="1">
        <f t="array" ref="AI11">SUM(C11:AH11)</f>
        <v>0</v>
      </c>
    </row>
    <row r="12" spans="1:35" x14ac:dyDescent="0.25">
      <c r="A12">
        <v>3</v>
      </c>
      <c r="B12" t="s">
        <v>42</v>
      </c>
      <c r="C12" s="37">
        <v>0</v>
      </c>
      <c r="D12" s="37">
        <v>0</v>
      </c>
      <c r="E12" s="37">
        <v>0</v>
      </c>
      <c r="F12" s="37">
        <v>0</v>
      </c>
      <c r="G12" s="37">
        <v>0</v>
      </c>
      <c r="H12" s="37">
        <v>0</v>
      </c>
      <c r="I12" s="37">
        <v>0</v>
      </c>
      <c r="J12" s="37">
        <v>0</v>
      </c>
      <c r="K12" s="37">
        <v>0</v>
      </c>
      <c r="L12" s="37">
        <v>0</v>
      </c>
      <c r="M12" s="37">
        <v>0</v>
      </c>
      <c r="N12" s="37">
        <v>0</v>
      </c>
      <c r="O12" s="37">
        <v>0</v>
      </c>
      <c r="P12" s="37">
        <v>2016.6</v>
      </c>
      <c r="Q12" s="37">
        <v>0</v>
      </c>
      <c r="R12" s="37">
        <v>2016.6</v>
      </c>
      <c r="S12" s="37">
        <v>0</v>
      </c>
      <c r="T12" s="37">
        <v>1008.3</v>
      </c>
      <c r="U12" s="37">
        <v>1008.3</v>
      </c>
      <c r="V12" s="37">
        <v>0</v>
      </c>
      <c r="W12" s="37">
        <v>0</v>
      </c>
      <c r="X12" s="37">
        <v>0</v>
      </c>
      <c r="Y12" s="37">
        <v>0</v>
      </c>
      <c r="Z12" s="37">
        <v>0</v>
      </c>
      <c r="AA12" s="37">
        <v>900</v>
      </c>
      <c r="AB12" s="37">
        <v>1800</v>
      </c>
      <c r="AC12" s="37">
        <v>0</v>
      </c>
      <c r="AD12" s="37">
        <v>0</v>
      </c>
      <c r="AE12" s="37">
        <v>0</v>
      </c>
      <c r="AF12" s="37">
        <v>0</v>
      </c>
      <c r="AG12" s="37">
        <v>0</v>
      </c>
      <c r="AH12" s="37">
        <v>1800</v>
      </c>
      <c r="AI12" cm="1">
        <f t="array" ref="AI12">SUM(C12:AH12)</f>
        <v>10549.8</v>
      </c>
    </row>
    <row r="13" spans="1:35" x14ac:dyDescent="0.25">
      <c r="A13">
        <v>4</v>
      </c>
      <c r="B13" t="s">
        <v>43</v>
      </c>
      <c r="C13" s="37">
        <v>0</v>
      </c>
      <c r="D13" s="37">
        <v>949.5</v>
      </c>
      <c r="E13" s="37">
        <v>949.5</v>
      </c>
      <c r="F13" s="37">
        <v>0</v>
      </c>
      <c r="G13" s="37">
        <v>0</v>
      </c>
      <c r="H13" s="37">
        <v>0</v>
      </c>
      <c r="I13" s="37">
        <v>0</v>
      </c>
      <c r="J13" s="37">
        <v>0</v>
      </c>
      <c r="K13" s="37">
        <v>0</v>
      </c>
      <c r="L13" s="37">
        <v>0</v>
      </c>
      <c r="M13" s="37">
        <v>0</v>
      </c>
      <c r="N13" s="37">
        <v>0</v>
      </c>
      <c r="O13" s="37">
        <v>0</v>
      </c>
      <c r="P13" s="37">
        <v>0</v>
      </c>
      <c r="Q13" s="37">
        <v>0</v>
      </c>
      <c r="R13" s="37">
        <v>0</v>
      </c>
      <c r="S13" s="37">
        <v>0</v>
      </c>
      <c r="T13" s="37">
        <v>0</v>
      </c>
      <c r="U13" s="37">
        <v>0</v>
      </c>
      <c r="V13" s="37">
        <v>0</v>
      </c>
      <c r="W13" s="37">
        <v>0</v>
      </c>
      <c r="X13" s="37">
        <v>0</v>
      </c>
      <c r="Y13" s="37">
        <v>983.7</v>
      </c>
      <c r="Z13" s="37">
        <v>0</v>
      </c>
      <c r="AA13" s="37">
        <v>0</v>
      </c>
      <c r="AB13" s="37">
        <v>0</v>
      </c>
      <c r="AC13" s="37">
        <v>0</v>
      </c>
      <c r="AD13" s="37">
        <v>0</v>
      </c>
      <c r="AE13" s="37">
        <v>0</v>
      </c>
      <c r="AF13" s="37">
        <v>0</v>
      </c>
      <c r="AG13" s="37">
        <v>0</v>
      </c>
      <c r="AH13" s="37">
        <v>0</v>
      </c>
      <c r="AI13" cm="1">
        <f t="array" ref="AI13">SUM(C13:AH13)</f>
        <v>2882.7</v>
      </c>
    </row>
    <row r="14" spans="1:35" x14ac:dyDescent="0.25">
      <c r="A14">
        <v>5</v>
      </c>
      <c r="B14" t="s">
        <v>44</v>
      </c>
      <c r="C14" s="37">
        <v>0</v>
      </c>
      <c r="D14" s="37">
        <v>0</v>
      </c>
      <c r="E14" s="37">
        <v>0</v>
      </c>
      <c r="F14" s="37">
        <v>0</v>
      </c>
      <c r="G14" s="37">
        <v>0</v>
      </c>
      <c r="H14" s="37">
        <v>0</v>
      </c>
      <c r="I14" s="37">
        <v>0</v>
      </c>
      <c r="J14" s="37">
        <v>0</v>
      </c>
      <c r="K14" s="37">
        <v>0</v>
      </c>
      <c r="L14" s="37">
        <v>0</v>
      </c>
      <c r="M14" s="37">
        <v>0</v>
      </c>
      <c r="N14" s="37">
        <v>0</v>
      </c>
      <c r="O14" s="37">
        <v>0</v>
      </c>
      <c r="P14" s="37">
        <v>0</v>
      </c>
      <c r="Q14" s="37">
        <v>0</v>
      </c>
      <c r="R14" s="37">
        <v>0</v>
      </c>
      <c r="S14" s="37">
        <v>0</v>
      </c>
      <c r="T14" s="37">
        <v>0</v>
      </c>
      <c r="U14" s="37">
        <v>0</v>
      </c>
      <c r="V14" s="37">
        <v>0</v>
      </c>
      <c r="W14" s="37">
        <v>0</v>
      </c>
      <c r="X14" s="37">
        <v>0</v>
      </c>
      <c r="Y14" s="37">
        <v>0</v>
      </c>
      <c r="Z14" s="37">
        <v>927</v>
      </c>
      <c r="AA14" s="37">
        <v>0</v>
      </c>
      <c r="AB14" s="37">
        <v>0</v>
      </c>
      <c r="AC14" s="37">
        <v>0</v>
      </c>
      <c r="AD14" s="37">
        <v>0</v>
      </c>
      <c r="AE14" s="37">
        <v>0</v>
      </c>
      <c r="AF14" s="37">
        <v>0</v>
      </c>
      <c r="AG14" s="37">
        <v>0</v>
      </c>
      <c r="AH14" s="37">
        <v>0</v>
      </c>
      <c r="AI14" cm="1">
        <f t="array" ref="AI14">SUM(C14:AH14)</f>
        <v>927</v>
      </c>
    </row>
    <row r="15" spans="1:35" x14ac:dyDescent="0.25">
      <c r="A15">
        <v>6</v>
      </c>
      <c r="B15" t="s">
        <v>45</v>
      </c>
      <c r="C15" s="37">
        <v>0</v>
      </c>
      <c r="D15" s="37">
        <v>0</v>
      </c>
      <c r="E15" s="37">
        <v>0</v>
      </c>
      <c r="F15" s="37">
        <v>0</v>
      </c>
      <c r="G15" s="37">
        <v>0</v>
      </c>
      <c r="H15" s="37">
        <v>0</v>
      </c>
      <c r="I15" s="37">
        <v>0</v>
      </c>
      <c r="J15" s="37">
        <v>0</v>
      </c>
      <c r="K15" s="37">
        <v>560</v>
      </c>
      <c r="L15" s="37">
        <v>0</v>
      </c>
      <c r="M15" s="37">
        <v>0</v>
      </c>
      <c r="N15" s="37">
        <v>0</v>
      </c>
      <c r="O15" s="37">
        <v>0</v>
      </c>
      <c r="P15" s="37">
        <v>560</v>
      </c>
      <c r="Q15" s="37">
        <v>0</v>
      </c>
      <c r="R15" s="37">
        <v>0</v>
      </c>
      <c r="S15" s="37">
        <v>0</v>
      </c>
      <c r="T15" s="37">
        <v>0</v>
      </c>
      <c r="U15" s="37">
        <v>0</v>
      </c>
      <c r="V15" s="37">
        <v>0</v>
      </c>
      <c r="W15" s="37">
        <v>280</v>
      </c>
      <c r="X15" s="37">
        <v>0</v>
      </c>
      <c r="Y15" s="37">
        <v>0</v>
      </c>
      <c r="Z15" s="37">
        <v>0</v>
      </c>
      <c r="AA15" s="37">
        <v>0</v>
      </c>
      <c r="AB15" s="37">
        <v>0</v>
      </c>
      <c r="AC15" s="37">
        <v>280</v>
      </c>
      <c r="AD15" s="37">
        <v>0</v>
      </c>
      <c r="AE15" s="37">
        <v>280</v>
      </c>
      <c r="AF15" s="37">
        <v>0</v>
      </c>
      <c r="AG15" s="37">
        <v>0</v>
      </c>
      <c r="AH15" s="37">
        <v>280</v>
      </c>
      <c r="AI15" cm="1">
        <f t="array" ref="AI15">SUM(C15:AH15)</f>
        <v>2240</v>
      </c>
    </row>
    <row r="16" spans="1:35" x14ac:dyDescent="0.25">
      <c r="A16">
        <v>7</v>
      </c>
      <c r="B16" t="s">
        <v>46</v>
      </c>
      <c r="C16" s="37">
        <v>0</v>
      </c>
      <c r="D16" s="37">
        <v>0</v>
      </c>
      <c r="E16" s="37">
        <v>0</v>
      </c>
      <c r="F16" s="37">
        <v>0</v>
      </c>
      <c r="G16" s="37">
        <v>280</v>
      </c>
      <c r="H16" s="37">
        <v>0</v>
      </c>
      <c r="I16" s="37">
        <v>0</v>
      </c>
      <c r="J16" s="37">
        <v>0</v>
      </c>
      <c r="K16" s="37">
        <v>0</v>
      </c>
      <c r="L16" s="37">
        <v>0</v>
      </c>
      <c r="M16" s="37">
        <v>280</v>
      </c>
      <c r="N16" s="37">
        <v>0</v>
      </c>
      <c r="O16" s="37">
        <v>0</v>
      </c>
      <c r="P16" s="37">
        <v>560</v>
      </c>
      <c r="Q16" s="37">
        <v>0</v>
      </c>
      <c r="R16" s="37">
        <v>280</v>
      </c>
      <c r="S16" s="37">
        <v>0</v>
      </c>
      <c r="T16" s="37">
        <v>0</v>
      </c>
      <c r="U16" s="37">
        <v>280</v>
      </c>
      <c r="V16" s="37">
        <v>0</v>
      </c>
      <c r="W16" s="37">
        <v>0</v>
      </c>
      <c r="X16" s="37">
        <v>0</v>
      </c>
      <c r="Y16" s="37">
        <v>0</v>
      </c>
      <c r="Z16" s="37">
        <v>0</v>
      </c>
      <c r="AA16" s="37">
        <v>280</v>
      </c>
      <c r="AB16" s="37">
        <v>0</v>
      </c>
      <c r="AC16" s="37">
        <v>560</v>
      </c>
      <c r="AD16" s="37">
        <v>0</v>
      </c>
      <c r="AE16" s="37">
        <v>0</v>
      </c>
      <c r="AF16" s="37">
        <v>0</v>
      </c>
      <c r="AG16" s="37">
        <v>280</v>
      </c>
      <c r="AH16" s="37">
        <v>0</v>
      </c>
      <c r="AI16" cm="1">
        <f t="array" ref="AI16">SUM(C16:AH16)</f>
        <v>2800</v>
      </c>
    </row>
    <row r="17" spans="1:35" x14ac:dyDescent="0.25">
      <c r="A17">
        <v>8</v>
      </c>
      <c r="B17" t="s">
        <v>47</v>
      </c>
      <c r="C17" s="37">
        <v>2200</v>
      </c>
      <c r="D17" s="37">
        <v>2200</v>
      </c>
      <c r="E17" s="37">
        <v>550</v>
      </c>
      <c r="F17" s="37">
        <v>0</v>
      </c>
      <c r="G17" s="37">
        <v>2200</v>
      </c>
      <c r="H17" s="37">
        <v>0</v>
      </c>
      <c r="I17" s="37">
        <v>0</v>
      </c>
      <c r="J17" s="37">
        <v>0</v>
      </c>
      <c r="K17" s="37">
        <v>5300</v>
      </c>
      <c r="L17" s="37">
        <v>0</v>
      </c>
      <c r="M17" s="37">
        <v>3850</v>
      </c>
      <c r="N17" s="37">
        <v>550</v>
      </c>
      <c r="O17" s="37">
        <v>2200</v>
      </c>
      <c r="P17" s="37">
        <v>2200</v>
      </c>
      <c r="Q17" s="37">
        <v>0</v>
      </c>
      <c r="R17" s="37">
        <v>0</v>
      </c>
      <c r="S17" s="37">
        <v>2200</v>
      </c>
      <c r="T17" s="37">
        <v>0</v>
      </c>
      <c r="U17" s="37">
        <v>1100</v>
      </c>
      <c r="V17" s="37">
        <v>0</v>
      </c>
      <c r="W17" s="37">
        <v>2200</v>
      </c>
      <c r="X17" s="37">
        <v>2200</v>
      </c>
      <c r="Y17" s="37">
        <v>0</v>
      </c>
      <c r="Z17" s="37">
        <v>0</v>
      </c>
      <c r="AA17" s="37">
        <v>2750</v>
      </c>
      <c r="AB17" s="37">
        <v>0</v>
      </c>
      <c r="AC17" s="37">
        <v>2750</v>
      </c>
      <c r="AD17" s="37">
        <v>0</v>
      </c>
      <c r="AE17" s="37">
        <v>2200</v>
      </c>
      <c r="AF17" s="37">
        <v>0</v>
      </c>
      <c r="AG17" s="37">
        <v>2200</v>
      </c>
      <c r="AH17" s="37">
        <v>0</v>
      </c>
      <c r="AI17" cm="1">
        <f t="array" ref="AI17">SUM(C17:AH17)</f>
        <v>38850</v>
      </c>
    </row>
    <row r="18" spans="1:35" x14ac:dyDescent="0.25">
      <c r="A18">
        <v>9</v>
      </c>
      <c r="B18" t="s">
        <v>48</v>
      </c>
      <c r="C18" s="37">
        <v>0</v>
      </c>
      <c r="D18" s="37">
        <v>0</v>
      </c>
      <c r="E18" s="37">
        <v>0</v>
      </c>
      <c r="F18" s="37">
        <v>0</v>
      </c>
      <c r="G18" s="37">
        <v>0</v>
      </c>
      <c r="H18" s="37">
        <v>0</v>
      </c>
      <c r="I18" s="37">
        <v>0</v>
      </c>
      <c r="J18" s="37">
        <v>0</v>
      </c>
      <c r="K18" s="37">
        <v>0</v>
      </c>
      <c r="L18" s="37">
        <v>0</v>
      </c>
      <c r="M18" s="37">
        <v>0</v>
      </c>
      <c r="N18" s="37">
        <v>0</v>
      </c>
      <c r="O18" s="37">
        <v>0</v>
      </c>
      <c r="P18" s="37">
        <v>0</v>
      </c>
      <c r="Q18" s="37">
        <v>0</v>
      </c>
      <c r="R18" s="37">
        <v>0</v>
      </c>
      <c r="S18" s="37">
        <v>0</v>
      </c>
      <c r="T18" s="37">
        <v>0</v>
      </c>
      <c r="U18" s="37">
        <v>0</v>
      </c>
      <c r="V18" s="37">
        <v>0</v>
      </c>
      <c r="W18" s="37">
        <v>0</v>
      </c>
      <c r="X18" s="37">
        <v>0</v>
      </c>
      <c r="Y18" s="37">
        <v>0</v>
      </c>
      <c r="Z18" s="37">
        <v>0</v>
      </c>
      <c r="AA18" s="37">
        <v>0</v>
      </c>
      <c r="AB18" s="37">
        <v>0</v>
      </c>
      <c r="AC18" s="37">
        <v>0</v>
      </c>
      <c r="AD18" s="37">
        <v>0</v>
      </c>
      <c r="AE18" s="37">
        <v>0</v>
      </c>
      <c r="AF18" s="37">
        <v>0</v>
      </c>
      <c r="AG18" s="37">
        <v>0</v>
      </c>
      <c r="AH18" s="37">
        <v>0</v>
      </c>
      <c r="AI18" cm="1">
        <f t="array" ref="AI18">SUM(C18:AH18)</f>
        <v>0</v>
      </c>
    </row>
    <row r="19" spans="1:35" x14ac:dyDescent="0.25">
      <c r="A19">
        <v>10</v>
      </c>
      <c r="B19" t="s">
        <v>49</v>
      </c>
      <c r="C19" s="37">
        <v>1050</v>
      </c>
      <c r="D19" s="37">
        <v>1750</v>
      </c>
      <c r="E19" s="37">
        <v>1750</v>
      </c>
      <c r="F19" s="37">
        <v>700</v>
      </c>
      <c r="G19" s="37">
        <v>3150</v>
      </c>
      <c r="H19" s="37">
        <v>1050</v>
      </c>
      <c r="I19" s="37">
        <v>2800</v>
      </c>
      <c r="J19" s="37">
        <v>1050</v>
      </c>
      <c r="K19" s="37">
        <v>0</v>
      </c>
      <c r="L19" s="37">
        <v>1400</v>
      </c>
      <c r="M19" s="37">
        <v>0</v>
      </c>
      <c r="N19" s="37">
        <v>2200</v>
      </c>
      <c r="O19" s="37">
        <v>350</v>
      </c>
      <c r="P19" s="37">
        <v>700</v>
      </c>
      <c r="Q19" s="37">
        <v>700</v>
      </c>
      <c r="R19" s="37">
        <v>2450</v>
      </c>
      <c r="S19" s="37">
        <v>350</v>
      </c>
      <c r="T19" s="37">
        <v>2100</v>
      </c>
      <c r="U19" s="37">
        <v>350</v>
      </c>
      <c r="V19" s="37">
        <v>1050</v>
      </c>
      <c r="W19" s="37">
        <v>0</v>
      </c>
      <c r="X19" s="37">
        <v>1050</v>
      </c>
      <c r="Y19" s="37">
        <v>0</v>
      </c>
      <c r="Z19" s="37">
        <v>1050</v>
      </c>
      <c r="AA19" s="37">
        <v>1400</v>
      </c>
      <c r="AB19" s="37">
        <v>0</v>
      </c>
      <c r="AC19" s="37">
        <v>1050</v>
      </c>
      <c r="AD19" s="37">
        <v>0</v>
      </c>
      <c r="AE19" s="37">
        <v>1750</v>
      </c>
      <c r="AF19" s="37">
        <v>2100</v>
      </c>
      <c r="AG19" s="37">
        <v>700</v>
      </c>
      <c r="AH19" s="37">
        <v>1050</v>
      </c>
      <c r="AI19" cm="1">
        <f t="array" ref="AI19">SUM(C19:AH19)</f>
        <v>35100</v>
      </c>
    </row>
    <row r="20" spans="1:35" x14ac:dyDescent="0.25">
      <c r="A20">
        <v>11</v>
      </c>
      <c r="B20" t="s">
        <v>50</v>
      </c>
      <c r="C20" s="37">
        <v>0</v>
      </c>
      <c r="D20" s="37">
        <v>0</v>
      </c>
      <c r="E20" s="37">
        <v>0</v>
      </c>
      <c r="F20" s="37">
        <v>0</v>
      </c>
      <c r="G20" s="37">
        <v>0</v>
      </c>
      <c r="H20" s="37">
        <v>0</v>
      </c>
      <c r="I20" s="37">
        <v>0</v>
      </c>
      <c r="J20" s="37">
        <v>0</v>
      </c>
      <c r="K20" s="37">
        <v>0</v>
      </c>
      <c r="L20" s="37">
        <v>0</v>
      </c>
      <c r="M20" s="37">
        <v>0</v>
      </c>
      <c r="N20" s="37">
        <v>0</v>
      </c>
      <c r="O20" s="37">
        <v>0</v>
      </c>
      <c r="P20" s="37">
        <v>0</v>
      </c>
      <c r="Q20" s="37">
        <v>0</v>
      </c>
      <c r="R20" s="37">
        <v>0</v>
      </c>
      <c r="S20" s="37">
        <v>0</v>
      </c>
      <c r="T20" s="37">
        <v>0</v>
      </c>
      <c r="U20" s="37">
        <v>0</v>
      </c>
      <c r="V20" s="37">
        <v>0</v>
      </c>
      <c r="W20" s="37">
        <v>0</v>
      </c>
      <c r="X20" s="37">
        <v>0</v>
      </c>
      <c r="Y20" s="37">
        <v>0</v>
      </c>
      <c r="Z20" s="37">
        <v>0</v>
      </c>
      <c r="AA20" s="37">
        <v>0</v>
      </c>
      <c r="AB20" s="37">
        <v>0</v>
      </c>
      <c r="AC20" s="37">
        <v>0</v>
      </c>
      <c r="AD20" s="37">
        <v>0</v>
      </c>
      <c r="AE20" s="37">
        <v>0</v>
      </c>
      <c r="AF20" s="37">
        <v>0</v>
      </c>
      <c r="AG20" s="37">
        <v>0</v>
      </c>
      <c r="AH20" s="37">
        <v>0</v>
      </c>
      <c r="AI20" cm="1">
        <f t="array" ref="AI20">SUM(C20:AH20)</f>
        <v>0</v>
      </c>
    </row>
    <row r="21" spans="1:35" x14ac:dyDescent="0.25">
      <c r="A21">
        <v>12</v>
      </c>
      <c r="B21" t="s">
        <v>51</v>
      </c>
      <c r="C21" s="37">
        <v>0</v>
      </c>
      <c r="D21" s="37">
        <v>0</v>
      </c>
      <c r="E21" s="37">
        <v>0</v>
      </c>
      <c r="F21" s="37">
        <v>0</v>
      </c>
      <c r="G21" s="37">
        <v>0</v>
      </c>
      <c r="H21" s="37">
        <v>0</v>
      </c>
      <c r="I21" s="37">
        <v>0</v>
      </c>
      <c r="J21" s="37">
        <v>0</v>
      </c>
      <c r="K21" s="37">
        <v>0</v>
      </c>
      <c r="L21" s="37">
        <v>0</v>
      </c>
      <c r="M21" s="37">
        <v>0</v>
      </c>
      <c r="N21" s="37">
        <v>0</v>
      </c>
      <c r="O21" s="37">
        <v>0</v>
      </c>
      <c r="P21" s="37">
        <v>0</v>
      </c>
      <c r="Q21" s="37">
        <v>0</v>
      </c>
      <c r="R21" s="37">
        <v>0</v>
      </c>
      <c r="S21" s="37">
        <v>0</v>
      </c>
      <c r="T21" s="37">
        <v>0</v>
      </c>
      <c r="U21" s="37">
        <v>0</v>
      </c>
      <c r="V21" s="37">
        <v>0</v>
      </c>
      <c r="W21" s="37">
        <v>0</v>
      </c>
      <c r="X21" s="37">
        <v>0</v>
      </c>
      <c r="Y21" s="37">
        <v>0</v>
      </c>
      <c r="Z21" s="37">
        <v>0</v>
      </c>
      <c r="AA21" s="37">
        <v>0</v>
      </c>
      <c r="AB21" s="37">
        <v>0</v>
      </c>
      <c r="AC21" s="37">
        <v>0</v>
      </c>
      <c r="AD21" s="37">
        <v>0</v>
      </c>
      <c r="AE21" s="37">
        <v>0</v>
      </c>
      <c r="AF21" s="37">
        <v>0</v>
      </c>
      <c r="AG21" s="37">
        <v>0</v>
      </c>
      <c r="AH21" s="37">
        <v>0</v>
      </c>
      <c r="AI21" cm="1">
        <f t="array" ref="AI21">SUM(C21:AH21)</f>
        <v>0</v>
      </c>
    </row>
    <row r="22" spans="1:35" x14ac:dyDescent="0.25">
      <c r="A22">
        <v>13</v>
      </c>
      <c r="B22" t="s">
        <v>52</v>
      </c>
      <c r="C22" s="37">
        <v>400</v>
      </c>
      <c r="D22" s="37">
        <v>0</v>
      </c>
      <c r="E22" s="37">
        <v>0</v>
      </c>
      <c r="F22" s="37">
        <v>0</v>
      </c>
      <c r="G22" s="37">
        <v>0</v>
      </c>
      <c r="H22" s="37">
        <v>0</v>
      </c>
      <c r="I22" s="37">
        <v>0</v>
      </c>
      <c r="J22" s="37">
        <v>0</v>
      </c>
      <c r="K22" s="37">
        <v>0</v>
      </c>
      <c r="L22" s="37">
        <v>0</v>
      </c>
      <c r="M22" s="37">
        <v>0</v>
      </c>
      <c r="N22" s="37">
        <v>0</v>
      </c>
      <c r="O22" s="37">
        <v>0</v>
      </c>
      <c r="P22" s="37">
        <v>0</v>
      </c>
      <c r="Q22" s="37">
        <v>400</v>
      </c>
      <c r="R22" s="37">
        <v>1634.2</v>
      </c>
      <c r="S22" s="37">
        <v>0</v>
      </c>
      <c r="T22" s="37">
        <v>2451.3000000000002</v>
      </c>
      <c r="U22" s="37">
        <v>1634.2</v>
      </c>
      <c r="V22" s="37">
        <v>0</v>
      </c>
      <c r="W22" s="37">
        <v>1594.4</v>
      </c>
      <c r="X22" s="37">
        <v>1594.4</v>
      </c>
      <c r="Y22" s="37">
        <v>0</v>
      </c>
      <c r="Z22" s="37">
        <v>1594.4</v>
      </c>
      <c r="AA22" s="37">
        <v>1197.2</v>
      </c>
      <c r="AB22" s="37">
        <v>2391.6</v>
      </c>
      <c r="AC22" s="37">
        <v>0</v>
      </c>
      <c r="AD22" s="37">
        <v>3188.8</v>
      </c>
      <c r="AE22" s="37">
        <v>0</v>
      </c>
      <c r="AF22" s="37">
        <v>0</v>
      </c>
      <c r="AG22" s="37">
        <v>0</v>
      </c>
      <c r="AH22" s="37">
        <v>0</v>
      </c>
      <c r="AI22" cm="1">
        <f t="array" ref="AI22">SUM(C22:AH22)</f>
        <v>18080.5</v>
      </c>
    </row>
    <row r="23" spans="1:35" x14ac:dyDescent="0.25">
      <c r="A23">
        <v>14</v>
      </c>
      <c r="B23" t="s">
        <v>53</v>
      </c>
      <c r="C23" s="37">
        <v>0</v>
      </c>
      <c r="D23" s="37">
        <v>0</v>
      </c>
      <c r="E23" s="37">
        <v>0</v>
      </c>
      <c r="F23" s="37">
        <v>0</v>
      </c>
      <c r="G23" s="37">
        <v>0</v>
      </c>
      <c r="H23" s="37">
        <v>0</v>
      </c>
      <c r="I23" s="37">
        <v>0</v>
      </c>
      <c r="J23" s="37">
        <v>0</v>
      </c>
      <c r="K23" s="37">
        <v>0</v>
      </c>
      <c r="L23" s="37">
        <v>0</v>
      </c>
      <c r="M23" s="37">
        <v>0</v>
      </c>
      <c r="N23" s="37">
        <v>0</v>
      </c>
      <c r="O23" s="37">
        <v>0</v>
      </c>
      <c r="P23" s="37">
        <v>0</v>
      </c>
      <c r="Q23" s="37">
        <v>0</v>
      </c>
      <c r="R23" s="37">
        <v>0</v>
      </c>
      <c r="S23" s="37">
        <v>0</v>
      </c>
      <c r="T23" s="37">
        <v>0</v>
      </c>
      <c r="U23" s="37">
        <v>0</v>
      </c>
      <c r="V23" s="37">
        <v>0</v>
      </c>
      <c r="W23" s="37">
        <v>0</v>
      </c>
      <c r="X23" s="37">
        <v>0</v>
      </c>
      <c r="Y23" s="37">
        <v>0</v>
      </c>
      <c r="Z23" s="37">
        <v>0</v>
      </c>
      <c r="AA23" s="37">
        <v>0</v>
      </c>
      <c r="AB23" s="37">
        <v>0</v>
      </c>
      <c r="AC23" s="37">
        <v>0</v>
      </c>
      <c r="AD23" s="37">
        <v>0</v>
      </c>
      <c r="AE23" s="37">
        <v>0</v>
      </c>
      <c r="AF23" s="37">
        <v>1200</v>
      </c>
      <c r="AG23" s="37">
        <v>400</v>
      </c>
      <c r="AH23" s="37">
        <v>400</v>
      </c>
      <c r="AI23" cm="1">
        <f t="array" ref="AI23">SUM(C23:AH23)</f>
        <v>2000</v>
      </c>
    </row>
    <row r="24" spans="1:35" x14ac:dyDescent="0.25">
      <c r="A24">
        <v>15</v>
      </c>
      <c r="B24" t="s">
        <v>54</v>
      </c>
      <c r="C24" s="37">
        <v>0</v>
      </c>
      <c r="D24" s="37">
        <v>0</v>
      </c>
      <c r="E24" s="37">
        <v>0</v>
      </c>
      <c r="F24" s="37">
        <v>0</v>
      </c>
      <c r="G24" s="37">
        <v>0</v>
      </c>
      <c r="H24" s="37">
        <v>0</v>
      </c>
      <c r="I24" s="37">
        <v>0</v>
      </c>
      <c r="J24" s="37">
        <v>0</v>
      </c>
      <c r="K24" s="37">
        <v>743.5</v>
      </c>
      <c r="L24" s="37">
        <v>0</v>
      </c>
      <c r="M24" s="37">
        <v>0</v>
      </c>
      <c r="N24" s="37">
        <v>0</v>
      </c>
      <c r="O24" s="37">
        <v>0</v>
      </c>
      <c r="P24" s="37">
        <v>0</v>
      </c>
      <c r="Q24" s="37">
        <v>0</v>
      </c>
      <c r="R24" s="37">
        <v>0</v>
      </c>
      <c r="S24" s="37">
        <v>0</v>
      </c>
      <c r="T24" s="37">
        <v>0</v>
      </c>
      <c r="U24" s="37">
        <v>0</v>
      </c>
      <c r="V24" s="37">
        <v>0</v>
      </c>
      <c r="W24" s="37">
        <v>0</v>
      </c>
      <c r="X24" s="37">
        <v>0</v>
      </c>
      <c r="Y24" s="37">
        <v>0</v>
      </c>
      <c r="Z24" s="37">
        <v>403</v>
      </c>
      <c r="AA24" s="37">
        <v>0</v>
      </c>
      <c r="AB24" s="37">
        <v>0</v>
      </c>
      <c r="AC24" s="37">
        <v>0</v>
      </c>
      <c r="AD24" s="37">
        <v>0</v>
      </c>
      <c r="AE24" s="37">
        <v>0</v>
      </c>
      <c r="AF24" s="37">
        <v>0</v>
      </c>
      <c r="AG24" s="37">
        <v>0</v>
      </c>
      <c r="AH24" s="37">
        <v>0</v>
      </c>
      <c r="AI24" cm="1">
        <f t="array" ref="AI24">SUM(C24:AH24)</f>
        <v>1146.5</v>
      </c>
    </row>
    <row r="25" spans="1:35" x14ac:dyDescent="0.25">
      <c r="A25">
        <v>16</v>
      </c>
      <c r="B25" t="s">
        <v>55</v>
      </c>
      <c r="C25" s="37">
        <v>3140.4</v>
      </c>
      <c r="D25" s="37">
        <v>580</v>
      </c>
      <c r="E25" s="37">
        <v>700.2</v>
      </c>
      <c r="F25" s="37">
        <v>0</v>
      </c>
      <c r="G25" s="37">
        <v>1980.4</v>
      </c>
      <c r="H25" s="37">
        <v>700.2</v>
      </c>
      <c r="I25" s="37">
        <v>2440.1999999999998</v>
      </c>
      <c r="J25" s="37">
        <v>0</v>
      </c>
      <c r="K25" s="37">
        <v>580</v>
      </c>
      <c r="L25" s="37">
        <v>1690.4</v>
      </c>
      <c r="M25" s="37">
        <v>990.2</v>
      </c>
      <c r="N25" s="37">
        <v>1860.2</v>
      </c>
      <c r="O25" s="37">
        <v>2440.1999999999998</v>
      </c>
      <c r="P25" s="37">
        <v>0</v>
      </c>
      <c r="Q25" s="37">
        <v>1280.2</v>
      </c>
      <c r="R25" s="37">
        <v>990.2</v>
      </c>
      <c r="S25" s="37">
        <v>0</v>
      </c>
      <c r="T25" s="37">
        <v>1690.4</v>
      </c>
      <c r="U25" s="37">
        <v>350.1</v>
      </c>
      <c r="V25" s="37">
        <v>990.2</v>
      </c>
      <c r="W25" s="37">
        <v>0</v>
      </c>
      <c r="X25" s="37">
        <v>990.2</v>
      </c>
      <c r="Y25" s="37">
        <v>700.2</v>
      </c>
      <c r="Z25" s="37">
        <v>870</v>
      </c>
      <c r="AA25" s="37">
        <v>1570.2</v>
      </c>
      <c r="AB25" s="37">
        <v>0</v>
      </c>
      <c r="AC25" s="37">
        <v>580</v>
      </c>
      <c r="AD25" s="37">
        <v>2100.6</v>
      </c>
      <c r="AE25" s="37">
        <v>1160</v>
      </c>
      <c r="AF25" s="37">
        <v>290</v>
      </c>
      <c r="AG25" s="37">
        <v>1690.4</v>
      </c>
      <c r="AH25" s="37">
        <v>0</v>
      </c>
      <c r="AI25" cm="1">
        <f t="array" ref="AI25">SUM(C25:AH25)</f>
        <v>32355.100000000006</v>
      </c>
    </row>
    <row r="26" spans="1:35" x14ac:dyDescent="0.25">
      <c r="A26">
        <v>17</v>
      </c>
      <c r="B26" t="s">
        <v>56</v>
      </c>
      <c r="C26" s="37">
        <v>0</v>
      </c>
      <c r="D26" s="37">
        <v>0</v>
      </c>
      <c r="E26" s="37">
        <v>0</v>
      </c>
      <c r="F26" s="37">
        <v>0</v>
      </c>
      <c r="G26" s="37">
        <v>0</v>
      </c>
      <c r="H26" s="37">
        <v>0</v>
      </c>
      <c r="I26" s="37">
        <v>0</v>
      </c>
      <c r="J26" s="37">
        <v>0</v>
      </c>
      <c r="K26" s="37">
        <v>0</v>
      </c>
      <c r="L26" s="37">
        <v>0</v>
      </c>
      <c r="M26" s="37">
        <v>0</v>
      </c>
      <c r="N26" s="37">
        <v>0</v>
      </c>
      <c r="O26" s="37">
        <v>0</v>
      </c>
      <c r="P26" s="37">
        <v>0</v>
      </c>
      <c r="Q26" s="37">
        <v>0</v>
      </c>
      <c r="R26" s="37">
        <v>750</v>
      </c>
      <c r="S26" s="37">
        <v>0</v>
      </c>
      <c r="T26" s="37">
        <v>0</v>
      </c>
      <c r="U26" s="37">
        <v>0</v>
      </c>
      <c r="V26" s="37">
        <v>0</v>
      </c>
      <c r="W26" s="37">
        <v>0</v>
      </c>
      <c r="X26" s="37">
        <v>0</v>
      </c>
      <c r="Y26" s="37">
        <v>0</v>
      </c>
      <c r="Z26" s="37">
        <v>0</v>
      </c>
      <c r="AA26" s="37">
        <v>0</v>
      </c>
      <c r="AB26" s="37">
        <v>0</v>
      </c>
      <c r="AC26" s="37">
        <v>0</v>
      </c>
      <c r="AD26" s="37">
        <v>0</v>
      </c>
      <c r="AE26" s="37">
        <v>0</v>
      </c>
      <c r="AF26" s="37">
        <v>0</v>
      </c>
      <c r="AG26" s="37">
        <v>0</v>
      </c>
      <c r="AH26" s="37">
        <v>0</v>
      </c>
      <c r="AI26" cm="1">
        <f t="array" ref="AI26">SUM(C26:AH26)</f>
        <v>750</v>
      </c>
    </row>
    <row r="27" spans="1:35" x14ac:dyDescent="0.25">
      <c r="A27">
        <v>18</v>
      </c>
      <c r="B27" t="s">
        <v>57</v>
      </c>
      <c r="C27" s="37">
        <v>0</v>
      </c>
      <c r="D27" s="37">
        <v>0</v>
      </c>
      <c r="E27" s="37">
        <v>0</v>
      </c>
      <c r="F27" s="37">
        <v>0</v>
      </c>
      <c r="G27" s="37">
        <v>0</v>
      </c>
      <c r="H27" s="37">
        <v>0</v>
      </c>
      <c r="I27" s="37">
        <v>0</v>
      </c>
      <c r="J27" s="37">
        <v>429.3</v>
      </c>
      <c r="K27" s="37">
        <v>0</v>
      </c>
      <c r="L27" s="37">
        <v>0</v>
      </c>
      <c r="M27" s="37">
        <v>0</v>
      </c>
      <c r="N27" s="37">
        <v>9350</v>
      </c>
      <c r="O27" s="37">
        <v>0</v>
      </c>
      <c r="P27" s="37">
        <v>0</v>
      </c>
      <c r="Q27" s="37">
        <v>0</v>
      </c>
      <c r="R27" s="37">
        <v>0</v>
      </c>
      <c r="S27" s="37">
        <v>0</v>
      </c>
      <c r="T27" s="37">
        <v>900</v>
      </c>
      <c r="U27" s="37">
        <v>0</v>
      </c>
      <c r="V27" s="37">
        <v>0</v>
      </c>
      <c r="W27" s="37">
        <v>0</v>
      </c>
      <c r="X27" s="37">
        <v>0</v>
      </c>
      <c r="Y27" s="37">
        <v>0</v>
      </c>
      <c r="Z27" s="37">
        <v>0</v>
      </c>
      <c r="AA27" s="37">
        <v>450</v>
      </c>
      <c r="AB27" s="37">
        <v>0</v>
      </c>
      <c r="AC27" s="37">
        <v>850</v>
      </c>
      <c r="AD27" s="37">
        <v>0</v>
      </c>
      <c r="AE27" s="37">
        <v>0</v>
      </c>
      <c r="AF27" s="37">
        <v>0</v>
      </c>
      <c r="AG27" s="37">
        <v>5950</v>
      </c>
      <c r="AH27" s="37">
        <v>0</v>
      </c>
      <c r="AI27" cm="1">
        <f t="array" ref="AI27">SUM(C27:AH27)</f>
        <v>17929.3</v>
      </c>
    </row>
    <row r="28" spans="1:35" x14ac:dyDescent="0.25">
      <c r="A28">
        <v>19</v>
      </c>
      <c r="B28" t="s">
        <v>58</v>
      </c>
      <c r="C28" s="37">
        <v>7650</v>
      </c>
      <c r="D28" s="37">
        <v>5950</v>
      </c>
      <c r="E28" s="37">
        <v>8500</v>
      </c>
      <c r="F28" s="37">
        <v>4250</v>
      </c>
      <c r="G28" s="37">
        <v>10200</v>
      </c>
      <c r="H28" s="37">
        <v>2550</v>
      </c>
      <c r="I28" s="37">
        <v>17000</v>
      </c>
      <c r="J28" s="37">
        <v>9350</v>
      </c>
      <c r="K28" s="37">
        <v>9350</v>
      </c>
      <c r="L28" s="37">
        <v>8500</v>
      </c>
      <c r="M28" s="37">
        <v>7650</v>
      </c>
      <c r="N28" s="37">
        <v>0</v>
      </c>
      <c r="O28" s="37">
        <v>5950</v>
      </c>
      <c r="P28" s="37">
        <v>8500</v>
      </c>
      <c r="Q28" s="37">
        <v>5100</v>
      </c>
      <c r="R28" s="37">
        <v>7650</v>
      </c>
      <c r="S28" s="37">
        <v>7650</v>
      </c>
      <c r="T28" s="37">
        <v>9350</v>
      </c>
      <c r="U28" s="37">
        <v>10200</v>
      </c>
      <c r="V28" s="37">
        <v>7650</v>
      </c>
      <c r="W28" s="37">
        <v>6800</v>
      </c>
      <c r="X28" s="37">
        <v>7650</v>
      </c>
      <c r="Y28" s="37">
        <v>3400</v>
      </c>
      <c r="Z28" s="37">
        <v>6800</v>
      </c>
      <c r="AA28" s="37">
        <v>11050</v>
      </c>
      <c r="AB28" s="37">
        <v>5100</v>
      </c>
      <c r="AC28" s="37">
        <v>8500</v>
      </c>
      <c r="AD28" s="37">
        <v>6800</v>
      </c>
      <c r="AE28" s="37">
        <v>6800</v>
      </c>
      <c r="AF28" s="37">
        <v>10200</v>
      </c>
      <c r="AG28" s="37">
        <v>0</v>
      </c>
      <c r="AH28" s="37">
        <v>7650</v>
      </c>
      <c r="AI28" cm="1">
        <f t="array" ref="AI28">SUM(C28:AH28)</f>
        <v>233750</v>
      </c>
    </row>
    <row r="29" spans="1:35" x14ac:dyDescent="0.25">
      <c r="A29">
        <v>20</v>
      </c>
      <c r="B29" t="s">
        <v>59</v>
      </c>
      <c r="C29" s="37">
        <v>0</v>
      </c>
      <c r="D29" s="37">
        <v>0</v>
      </c>
      <c r="E29" s="37">
        <v>0</v>
      </c>
      <c r="F29" s="37">
        <v>0</v>
      </c>
      <c r="G29" s="37">
        <v>0</v>
      </c>
      <c r="H29" s="37">
        <v>0</v>
      </c>
      <c r="I29" s="37">
        <v>0</v>
      </c>
      <c r="J29" s="37">
        <v>0</v>
      </c>
      <c r="K29" s="37">
        <v>0</v>
      </c>
      <c r="L29" s="37">
        <v>0</v>
      </c>
      <c r="M29" s="37">
        <v>0</v>
      </c>
      <c r="N29" s="37">
        <v>0</v>
      </c>
      <c r="O29" s="37">
        <v>0</v>
      </c>
      <c r="P29" s="37">
        <v>0</v>
      </c>
      <c r="Q29" s="37">
        <v>0</v>
      </c>
      <c r="R29" s="37">
        <v>0</v>
      </c>
      <c r="S29" s="37">
        <v>0</v>
      </c>
      <c r="T29" s="37">
        <v>0</v>
      </c>
      <c r="U29" s="37">
        <v>0</v>
      </c>
      <c r="V29" s="37">
        <v>0</v>
      </c>
      <c r="W29" s="37">
        <v>0</v>
      </c>
      <c r="X29" s="37">
        <v>0</v>
      </c>
      <c r="Y29" s="37">
        <v>0</v>
      </c>
      <c r="Z29" s="37">
        <v>0</v>
      </c>
      <c r="AA29" s="37">
        <v>0</v>
      </c>
      <c r="AB29" s="37">
        <v>0</v>
      </c>
      <c r="AC29" s="37">
        <v>0</v>
      </c>
      <c r="AD29" s="37">
        <v>0</v>
      </c>
      <c r="AE29" s="37">
        <v>0</v>
      </c>
      <c r="AF29" s="37">
        <v>0</v>
      </c>
      <c r="AG29" s="37">
        <v>0</v>
      </c>
      <c r="AH29" s="37">
        <v>0</v>
      </c>
      <c r="AI29" cm="1">
        <f t="array" ref="AI29">SUM(C29:AH29)</f>
        <v>0</v>
      </c>
    </row>
    <row r="30" spans="1:35" x14ac:dyDescent="0.25">
      <c r="A30">
        <v>21</v>
      </c>
      <c r="B30" t="s">
        <v>60</v>
      </c>
      <c r="C30" s="37">
        <v>0</v>
      </c>
      <c r="D30" s="37">
        <v>0</v>
      </c>
      <c r="E30" s="37">
        <v>0</v>
      </c>
      <c r="F30" s="37">
        <v>0</v>
      </c>
      <c r="G30" s="37">
        <v>0</v>
      </c>
      <c r="H30" s="37">
        <v>0</v>
      </c>
      <c r="I30" s="37">
        <v>0</v>
      </c>
      <c r="J30" s="37">
        <v>0</v>
      </c>
      <c r="K30" s="37">
        <v>0</v>
      </c>
      <c r="L30" s="37">
        <v>0</v>
      </c>
      <c r="M30" s="37">
        <v>0</v>
      </c>
      <c r="N30" s="37">
        <v>0</v>
      </c>
      <c r="O30" s="37">
        <v>0</v>
      </c>
      <c r="P30" s="37">
        <v>0</v>
      </c>
      <c r="Q30" s="37">
        <v>0</v>
      </c>
      <c r="R30" s="37">
        <v>0</v>
      </c>
      <c r="S30" s="37">
        <v>0</v>
      </c>
      <c r="T30" s="37">
        <v>0</v>
      </c>
      <c r="U30" s="37">
        <v>0</v>
      </c>
      <c r="V30" s="37">
        <v>0</v>
      </c>
      <c r="W30" s="37">
        <v>0</v>
      </c>
      <c r="X30" s="37">
        <v>0</v>
      </c>
      <c r="Y30" s="37">
        <v>0</v>
      </c>
      <c r="Z30" s="37">
        <v>0</v>
      </c>
      <c r="AA30" s="37">
        <v>0</v>
      </c>
      <c r="AB30" s="37">
        <v>0</v>
      </c>
      <c r="AC30" s="37">
        <v>0</v>
      </c>
      <c r="AD30" s="37">
        <v>0</v>
      </c>
      <c r="AE30" s="37">
        <v>0</v>
      </c>
      <c r="AF30" s="37">
        <v>0</v>
      </c>
      <c r="AG30" s="37">
        <v>0</v>
      </c>
      <c r="AH30" s="37">
        <v>0</v>
      </c>
      <c r="AI30" cm="1">
        <f t="array" ref="AI30">SUM(C30:AH30)</f>
        <v>0</v>
      </c>
    </row>
    <row r="31" spans="1:35" x14ac:dyDescent="0.25">
      <c r="A31">
        <v>22</v>
      </c>
      <c r="B31" t="s">
        <v>61</v>
      </c>
      <c r="C31" s="37">
        <v>1400</v>
      </c>
      <c r="D31" s="37">
        <v>1400</v>
      </c>
      <c r="E31" s="37">
        <v>2438.6999999999998</v>
      </c>
      <c r="F31" s="37">
        <v>560</v>
      </c>
      <c r="G31" s="37">
        <v>-12480</v>
      </c>
      <c r="H31" s="37">
        <v>2520</v>
      </c>
      <c r="I31" s="37">
        <v>2520</v>
      </c>
      <c r="J31" s="37">
        <v>3278.7</v>
      </c>
      <c r="K31" s="37">
        <v>2940</v>
      </c>
      <c r="L31" s="37">
        <v>1260</v>
      </c>
      <c r="M31" s="37">
        <v>1680</v>
      </c>
      <c r="N31" s="37">
        <v>2100</v>
      </c>
      <c r="O31" s="37">
        <v>560</v>
      </c>
      <c r="P31" s="37">
        <v>1820</v>
      </c>
      <c r="Q31" s="37">
        <v>1680</v>
      </c>
      <c r="R31" s="37">
        <v>1680</v>
      </c>
      <c r="S31" s="37">
        <v>1680</v>
      </c>
      <c r="T31" s="37">
        <v>1680</v>
      </c>
      <c r="U31" s="37">
        <v>2843.6</v>
      </c>
      <c r="V31" s="37">
        <v>1540</v>
      </c>
      <c r="W31" s="37">
        <v>0</v>
      </c>
      <c r="X31" s="37">
        <v>420</v>
      </c>
      <c r="Y31" s="37">
        <v>1680</v>
      </c>
      <c r="Z31" s="37">
        <v>1680</v>
      </c>
      <c r="AA31" s="37">
        <v>3360</v>
      </c>
      <c r="AB31" s="37">
        <v>1120</v>
      </c>
      <c r="AC31" s="37">
        <v>1680</v>
      </c>
      <c r="AD31" s="37">
        <v>1680</v>
      </c>
      <c r="AE31" s="37">
        <v>2940</v>
      </c>
      <c r="AF31" s="37">
        <v>840</v>
      </c>
      <c r="AG31" s="37">
        <v>2940</v>
      </c>
      <c r="AH31" s="37">
        <v>0</v>
      </c>
      <c r="AI31" cm="1">
        <f t="array" ref="AI31">SUM(C31:AH31)</f>
        <v>41441</v>
      </c>
    </row>
    <row r="32" spans="1:35" x14ac:dyDescent="0.25">
      <c r="A32">
        <v>23</v>
      </c>
      <c r="B32" t="s">
        <v>62</v>
      </c>
      <c r="C32" s="37">
        <v>0</v>
      </c>
      <c r="D32" s="37">
        <v>0</v>
      </c>
      <c r="E32" s="37">
        <v>15774</v>
      </c>
      <c r="F32" s="37">
        <v>0</v>
      </c>
      <c r="G32" s="37">
        <v>0</v>
      </c>
      <c r="H32" s="37">
        <v>7887</v>
      </c>
      <c r="I32" s="37">
        <v>0</v>
      </c>
      <c r="J32" s="37">
        <v>0</v>
      </c>
      <c r="K32" s="37">
        <v>0</v>
      </c>
      <c r="L32" s="37">
        <v>7887</v>
      </c>
      <c r="M32" s="37">
        <v>0</v>
      </c>
      <c r="N32" s="37">
        <v>7887</v>
      </c>
      <c r="O32" s="37">
        <v>7887</v>
      </c>
      <c r="P32" s="37">
        <v>0</v>
      </c>
      <c r="Q32" s="37">
        <v>7432</v>
      </c>
      <c r="R32" s="37">
        <v>0</v>
      </c>
      <c r="S32" s="37">
        <v>0</v>
      </c>
      <c r="T32" s="37">
        <v>7432</v>
      </c>
      <c r="U32" s="37">
        <v>0</v>
      </c>
      <c r="V32" s="37">
        <v>7432</v>
      </c>
      <c r="W32" s="37">
        <v>0</v>
      </c>
      <c r="X32" s="37">
        <v>7432</v>
      </c>
      <c r="Y32" s="37">
        <v>0</v>
      </c>
      <c r="Z32" s="37">
        <v>6120</v>
      </c>
      <c r="AA32" s="37">
        <v>6120</v>
      </c>
      <c r="AB32" s="37">
        <v>0</v>
      </c>
      <c r="AC32" s="37">
        <v>6120</v>
      </c>
      <c r="AD32" s="37">
        <v>0</v>
      </c>
      <c r="AE32" s="37">
        <v>6120</v>
      </c>
      <c r="AF32" s="37">
        <v>0</v>
      </c>
      <c r="AG32" s="37">
        <v>6120</v>
      </c>
      <c r="AH32" s="37">
        <v>6120</v>
      </c>
      <c r="AI32" cm="1">
        <f t="array" ref="AI32">SUM(C32:AH32)</f>
        <v>113770</v>
      </c>
    </row>
    <row r="33" spans="1:35" x14ac:dyDescent="0.25">
      <c r="A33">
        <v>24</v>
      </c>
      <c r="B33" t="s">
        <v>63</v>
      </c>
      <c r="C33" s="37">
        <v>400</v>
      </c>
      <c r="D33" s="37">
        <v>0</v>
      </c>
      <c r="E33" s="37">
        <v>0</v>
      </c>
      <c r="F33" s="37">
        <v>0</v>
      </c>
      <c r="G33" s="37">
        <v>0</v>
      </c>
      <c r="H33" s="37">
        <v>0</v>
      </c>
      <c r="I33" s="37">
        <v>400</v>
      </c>
      <c r="J33" s="37">
        <v>0</v>
      </c>
      <c r="K33" s="37">
        <v>0</v>
      </c>
      <c r="L33" s="37">
        <v>800</v>
      </c>
      <c r="M33" s="37">
        <v>0</v>
      </c>
      <c r="N33" s="37">
        <v>0</v>
      </c>
      <c r="O33" s="37">
        <v>400</v>
      </c>
      <c r="P33" s="37">
        <v>0</v>
      </c>
      <c r="Q33" s="37">
        <v>0</v>
      </c>
      <c r="R33" s="37">
        <v>0</v>
      </c>
      <c r="S33" s="37">
        <v>0</v>
      </c>
      <c r="T33" s="37">
        <v>400</v>
      </c>
      <c r="U33" s="37">
        <v>0</v>
      </c>
      <c r="V33" s="37">
        <v>0</v>
      </c>
      <c r="W33" s="37">
        <v>0</v>
      </c>
      <c r="X33" s="37">
        <v>0</v>
      </c>
      <c r="Y33" s="37">
        <v>400</v>
      </c>
      <c r="Z33" s="37">
        <v>800</v>
      </c>
      <c r="AA33" s="37">
        <v>0</v>
      </c>
      <c r="AB33" s="37">
        <v>0</v>
      </c>
      <c r="AC33" s="37">
        <v>0</v>
      </c>
      <c r="AD33" s="37">
        <v>0</v>
      </c>
      <c r="AE33" s="37">
        <v>400</v>
      </c>
      <c r="AF33" s="37">
        <v>0</v>
      </c>
      <c r="AG33" s="37">
        <v>0</v>
      </c>
      <c r="AH33" s="37">
        <v>0</v>
      </c>
      <c r="AI33" cm="1">
        <f t="array" ref="AI33">SUM(C33:AH33)</f>
        <v>4000</v>
      </c>
    </row>
    <row r="34" spans="1:35" x14ac:dyDescent="0.25">
      <c r="A34">
        <v>25</v>
      </c>
      <c r="B34" t="s">
        <v>64</v>
      </c>
      <c r="C34" s="37">
        <v>0</v>
      </c>
      <c r="D34" s="37">
        <v>3000</v>
      </c>
      <c r="E34" s="37">
        <v>0</v>
      </c>
      <c r="F34" s="37">
        <v>0</v>
      </c>
      <c r="G34" s="37">
        <v>600</v>
      </c>
      <c r="H34" s="37">
        <v>0</v>
      </c>
      <c r="I34" s="37">
        <v>0</v>
      </c>
      <c r="J34" s="37">
        <v>0</v>
      </c>
      <c r="K34" s="37">
        <v>0</v>
      </c>
      <c r="L34" s="37">
        <v>1200</v>
      </c>
      <c r="M34" s="37">
        <v>0</v>
      </c>
      <c r="N34" s="37">
        <v>1200</v>
      </c>
      <c r="O34" s="37">
        <v>2100</v>
      </c>
      <c r="P34" s="37">
        <v>0</v>
      </c>
      <c r="Q34" s="37">
        <v>0</v>
      </c>
      <c r="R34" s="37">
        <v>0</v>
      </c>
      <c r="S34" s="37">
        <v>0</v>
      </c>
      <c r="T34" s="37">
        <v>0</v>
      </c>
      <c r="U34" s="37">
        <v>0</v>
      </c>
      <c r="V34" s="37">
        <v>0</v>
      </c>
      <c r="W34" s="37">
        <v>0</v>
      </c>
      <c r="X34" s="37">
        <v>600</v>
      </c>
      <c r="Y34" s="37">
        <v>900</v>
      </c>
      <c r="Z34" s="37">
        <v>0</v>
      </c>
      <c r="AA34" s="37">
        <v>0</v>
      </c>
      <c r="AB34" s="37">
        <v>0</v>
      </c>
      <c r="AC34" s="37">
        <v>0</v>
      </c>
      <c r="AD34" s="37">
        <v>0</v>
      </c>
      <c r="AE34" s="37">
        <v>0</v>
      </c>
      <c r="AF34" s="37">
        <v>0</v>
      </c>
      <c r="AG34" s="37">
        <v>0</v>
      </c>
      <c r="AH34" s="37">
        <v>0</v>
      </c>
      <c r="AI34" cm="1">
        <f t="array" ref="AI34">SUM(C34:AH34)</f>
        <v>9600</v>
      </c>
    </row>
    <row r="35" spans="1:35" x14ac:dyDescent="0.25">
      <c r="A35">
        <v>26</v>
      </c>
      <c r="B35" t="s">
        <v>65</v>
      </c>
      <c r="C35" s="37">
        <v>0</v>
      </c>
      <c r="D35" s="37">
        <v>0</v>
      </c>
      <c r="E35" s="37">
        <v>0</v>
      </c>
      <c r="F35" s="37">
        <v>0</v>
      </c>
      <c r="G35" s="37">
        <v>0</v>
      </c>
      <c r="H35" s="37">
        <v>0</v>
      </c>
      <c r="I35" s="37">
        <v>1200</v>
      </c>
      <c r="J35" s="37">
        <v>800</v>
      </c>
      <c r="K35" s="37">
        <v>0</v>
      </c>
      <c r="L35" s="37">
        <v>600</v>
      </c>
      <c r="M35" s="37">
        <v>800</v>
      </c>
      <c r="N35" s="37">
        <v>800</v>
      </c>
      <c r="O35" s="37">
        <v>200</v>
      </c>
      <c r="P35" s="37">
        <v>800</v>
      </c>
      <c r="Q35" s="37">
        <v>0</v>
      </c>
      <c r="R35" s="37">
        <v>0</v>
      </c>
      <c r="S35" s="37">
        <v>2200</v>
      </c>
      <c r="T35" s="37">
        <v>600</v>
      </c>
      <c r="U35" s="37">
        <v>0</v>
      </c>
      <c r="V35" s="37">
        <v>200</v>
      </c>
      <c r="W35" s="37">
        <v>0</v>
      </c>
      <c r="X35" s="37">
        <v>200</v>
      </c>
      <c r="Y35" s="37">
        <v>0</v>
      </c>
      <c r="Z35" s="37">
        <v>1100</v>
      </c>
      <c r="AA35" s="37">
        <v>0</v>
      </c>
      <c r="AB35" s="37">
        <v>0</v>
      </c>
      <c r="AC35" s="37">
        <v>200</v>
      </c>
      <c r="AD35" s="37">
        <v>0</v>
      </c>
      <c r="AE35" s="37">
        <v>0</v>
      </c>
      <c r="AF35" s="37">
        <v>0</v>
      </c>
      <c r="AG35" s="37">
        <v>0</v>
      </c>
      <c r="AH35" s="37">
        <v>0</v>
      </c>
      <c r="AI35" cm="1">
        <f t="array" ref="AI35">SUM(C35:AH35)</f>
        <v>9700</v>
      </c>
    </row>
    <row r="36" spans="1:35" x14ac:dyDescent="0.25">
      <c r="A36">
        <v>27</v>
      </c>
      <c r="B36" t="s">
        <v>66</v>
      </c>
      <c r="C36" s="37">
        <v>900</v>
      </c>
      <c r="D36" s="37">
        <v>900</v>
      </c>
      <c r="E36" s="37">
        <v>0</v>
      </c>
      <c r="F36" s="37">
        <v>0</v>
      </c>
      <c r="G36" s="37">
        <v>5400</v>
      </c>
      <c r="H36" s="37">
        <v>3600</v>
      </c>
      <c r="I36" s="37">
        <v>5400</v>
      </c>
      <c r="J36" s="37">
        <v>0</v>
      </c>
      <c r="K36" s="37">
        <v>0</v>
      </c>
      <c r="L36" s="37">
        <v>0</v>
      </c>
      <c r="M36" s="37">
        <v>0</v>
      </c>
      <c r="N36" s="37">
        <v>0</v>
      </c>
      <c r="O36" s="37">
        <v>1800</v>
      </c>
      <c r="P36" s="37">
        <v>0</v>
      </c>
      <c r="Q36" s="37">
        <v>900</v>
      </c>
      <c r="R36" s="37">
        <v>900</v>
      </c>
      <c r="S36" s="37">
        <v>900</v>
      </c>
      <c r="T36" s="37">
        <v>0</v>
      </c>
      <c r="U36" s="37">
        <v>0</v>
      </c>
      <c r="V36" s="37">
        <v>0</v>
      </c>
      <c r="W36" s="37">
        <v>0</v>
      </c>
      <c r="X36" s="37">
        <v>0</v>
      </c>
      <c r="Y36" s="37">
        <v>0</v>
      </c>
      <c r="Z36" s="37">
        <v>0</v>
      </c>
      <c r="AA36" s="37">
        <v>5400</v>
      </c>
      <c r="AB36" s="37">
        <v>0</v>
      </c>
      <c r="AC36" s="37">
        <v>1800</v>
      </c>
      <c r="AD36" s="37">
        <v>0</v>
      </c>
      <c r="AE36" s="37">
        <v>4500</v>
      </c>
      <c r="AF36" s="37">
        <v>0</v>
      </c>
      <c r="AG36" s="37">
        <v>0</v>
      </c>
      <c r="AH36" s="37">
        <v>0</v>
      </c>
      <c r="AI36" cm="1">
        <f t="array" ref="AI36">SUM(C36:AH36)</f>
        <v>32400</v>
      </c>
    </row>
    <row r="37" spans="1:35" x14ac:dyDescent="0.25">
      <c r="A37">
        <v>28</v>
      </c>
      <c r="B37" t="s">
        <v>67</v>
      </c>
      <c r="C37" s="37">
        <v>0</v>
      </c>
      <c r="D37" s="37">
        <v>0</v>
      </c>
      <c r="E37" s="37">
        <v>0</v>
      </c>
      <c r="F37" s="37">
        <v>0</v>
      </c>
      <c r="G37" s="37">
        <v>1440</v>
      </c>
      <c r="H37" s="37">
        <v>2880</v>
      </c>
      <c r="I37" s="37">
        <v>0</v>
      </c>
      <c r="J37" s="37">
        <v>0</v>
      </c>
      <c r="K37" s="37">
        <v>0</v>
      </c>
      <c r="L37" s="37">
        <v>240</v>
      </c>
      <c r="M37" s="37">
        <v>240</v>
      </c>
      <c r="N37" s="37">
        <v>0</v>
      </c>
      <c r="O37" s="37">
        <v>0</v>
      </c>
      <c r="P37" s="37">
        <v>480</v>
      </c>
      <c r="Q37" s="37">
        <v>0</v>
      </c>
      <c r="R37" s="37">
        <v>480</v>
      </c>
      <c r="S37" s="37">
        <v>0</v>
      </c>
      <c r="T37" s="37">
        <v>0</v>
      </c>
      <c r="U37" s="37">
        <v>0</v>
      </c>
      <c r="V37" s="37">
        <v>0</v>
      </c>
      <c r="W37" s="37">
        <v>0</v>
      </c>
      <c r="X37" s="37">
        <v>0</v>
      </c>
      <c r="Y37" s="37">
        <v>0</v>
      </c>
      <c r="Z37" s="37">
        <v>0</v>
      </c>
      <c r="AA37" s="37">
        <v>0</v>
      </c>
      <c r="AB37" s="37">
        <v>0</v>
      </c>
      <c r="AC37" s="37">
        <v>0</v>
      </c>
      <c r="AD37" s="37">
        <v>0</v>
      </c>
      <c r="AE37" s="37">
        <v>0</v>
      </c>
      <c r="AF37" s="37">
        <v>0</v>
      </c>
      <c r="AG37" s="37">
        <v>0</v>
      </c>
      <c r="AH37" s="37">
        <v>0</v>
      </c>
      <c r="AI37" cm="1">
        <f t="array" ref="AI37">SUM(C37:AH37)</f>
        <v>5760</v>
      </c>
    </row>
    <row r="38" spans="1:35" x14ac:dyDescent="0.25">
      <c r="A38">
        <v>29</v>
      </c>
      <c r="B38" t="s">
        <v>68</v>
      </c>
      <c r="C38" s="37">
        <v>0</v>
      </c>
      <c r="D38" s="37">
        <v>0</v>
      </c>
      <c r="E38" s="37">
        <v>0</v>
      </c>
      <c r="F38" s="37">
        <v>0</v>
      </c>
      <c r="G38" s="37">
        <v>0</v>
      </c>
      <c r="H38" s="37">
        <v>0</v>
      </c>
      <c r="I38" s="37">
        <v>0</v>
      </c>
      <c r="J38" s="37">
        <v>0</v>
      </c>
      <c r="K38" s="37">
        <v>0</v>
      </c>
      <c r="L38" s="37">
        <v>0</v>
      </c>
      <c r="M38" s="37">
        <v>0</v>
      </c>
      <c r="N38" s="37">
        <v>0</v>
      </c>
      <c r="O38" s="37">
        <v>0</v>
      </c>
      <c r="P38" s="37">
        <v>0</v>
      </c>
      <c r="Q38" s="37">
        <v>0</v>
      </c>
      <c r="R38" s="37">
        <v>360</v>
      </c>
      <c r="S38" s="37">
        <v>180</v>
      </c>
      <c r="T38" s="37">
        <v>0</v>
      </c>
      <c r="U38" s="37">
        <v>0</v>
      </c>
      <c r="V38" s="37">
        <v>0</v>
      </c>
      <c r="W38" s="37">
        <v>0</v>
      </c>
      <c r="X38" s="37">
        <v>0</v>
      </c>
      <c r="Y38" s="37">
        <v>0</v>
      </c>
      <c r="Z38" s="37">
        <v>0</v>
      </c>
      <c r="AA38" s="37">
        <v>0</v>
      </c>
      <c r="AB38" s="37">
        <v>360</v>
      </c>
      <c r="AC38" s="37">
        <v>180</v>
      </c>
      <c r="AD38" s="37">
        <v>0</v>
      </c>
      <c r="AE38" s="37">
        <v>0</v>
      </c>
      <c r="AF38" s="37">
        <v>0</v>
      </c>
      <c r="AG38" s="37">
        <v>0</v>
      </c>
      <c r="AH38" s="37">
        <v>0</v>
      </c>
      <c r="AI38" cm="1">
        <f t="array" ref="AI38">SUM(C38:AH38)</f>
        <v>1080</v>
      </c>
    </row>
    <row r="39" spans="1:35" x14ac:dyDescent="0.25">
      <c r="A39">
        <v>30</v>
      </c>
      <c r="B39" t="s">
        <v>69</v>
      </c>
      <c r="C39" s="37">
        <v>0</v>
      </c>
      <c r="D39" s="37">
        <v>0</v>
      </c>
      <c r="E39" s="37">
        <v>0</v>
      </c>
      <c r="F39" s="37">
        <v>0</v>
      </c>
      <c r="G39" s="37">
        <v>0</v>
      </c>
      <c r="H39" s="37">
        <v>0</v>
      </c>
      <c r="I39" s="37">
        <v>0</v>
      </c>
      <c r="J39" s="37">
        <v>0</v>
      </c>
      <c r="K39" s="37">
        <v>0</v>
      </c>
      <c r="L39" s="37">
        <v>0</v>
      </c>
      <c r="M39" s="37">
        <v>0</v>
      </c>
      <c r="N39" s="37">
        <v>0</v>
      </c>
      <c r="O39" s="37">
        <v>0</v>
      </c>
      <c r="P39" s="37">
        <v>0</v>
      </c>
      <c r="Q39" s="37">
        <v>0</v>
      </c>
      <c r="R39" s="37">
        <v>0</v>
      </c>
      <c r="S39" s="37">
        <v>0</v>
      </c>
      <c r="T39" s="37">
        <v>0</v>
      </c>
      <c r="U39" s="37">
        <v>0</v>
      </c>
      <c r="V39" s="37">
        <v>0</v>
      </c>
      <c r="W39" s="37">
        <v>0</v>
      </c>
      <c r="X39" s="37">
        <v>0</v>
      </c>
      <c r="Y39" s="37">
        <v>0</v>
      </c>
      <c r="Z39" s="37">
        <v>0</v>
      </c>
      <c r="AA39" s="37">
        <v>0</v>
      </c>
      <c r="AB39" s="37">
        <v>0</v>
      </c>
      <c r="AC39" s="37">
        <v>0</v>
      </c>
      <c r="AD39" s="37">
        <v>0</v>
      </c>
      <c r="AE39" s="37">
        <v>0</v>
      </c>
      <c r="AF39" s="37">
        <v>0</v>
      </c>
      <c r="AG39" s="37">
        <v>0</v>
      </c>
      <c r="AH39" s="37">
        <v>0</v>
      </c>
      <c r="AI39" cm="1">
        <f t="array" ref="AI39">SUM(C39:AH39)</f>
        <v>0</v>
      </c>
    </row>
    <row r="40" spans="1:35" x14ac:dyDescent="0.25">
      <c r="A40">
        <v>31</v>
      </c>
      <c r="B40" t="s">
        <v>70</v>
      </c>
      <c r="C40" s="37">
        <v>0</v>
      </c>
      <c r="D40" s="37">
        <v>0</v>
      </c>
      <c r="E40" s="37">
        <v>0</v>
      </c>
      <c r="F40" s="37">
        <v>0</v>
      </c>
      <c r="G40" s="37">
        <v>0</v>
      </c>
      <c r="H40" s="37">
        <v>0</v>
      </c>
      <c r="I40" s="37">
        <v>0</v>
      </c>
      <c r="J40" s="37">
        <v>0</v>
      </c>
      <c r="K40" s="37">
        <v>0</v>
      </c>
      <c r="L40" s="37">
        <v>0</v>
      </c>
      <c r="M40" s="37">
        <v>0</v>
      </c>
      <c r="N40" s="37">
        <v>0</v>
      </c>
      <c r="O40" s="37">
        <v>0</v>
      </c>
      <c r="P40" s="37">
        <v>0</v>
      </c>
      <c r="Q40" s="37">
        <v>0</v>
      </c>
      <c r="R40" s="37">
        <v>0</v>
      </c>
      <c r="S40" s="37">
        <v>0</v>
      </c>
      <c r="T40" s="37">
        <v>0</v>
      </c>
      <c r="U40" s="37">
        <v>0</v>
      </c>
      <c r="V40" s="37">
        <v>0</v>
      </c>
      <c r="W40" s="37">
        <v>0</v>
      </c>
      <c r="X40" s="37">
        <v>0</v>
      </c>
      <c r="Y40" s="37">
        <v>0</v>
      </c>
      <c r="Z40" s="37">
        <v>0</v>
      </c>
      <c r="AA40" s="37">
        <v>0</v>
      </c>
      <c r="AB40" s="37">
        <v>0</v>
      </c>
      <c r="AC40" s="37">
        <v>0</v>
      </c>
      <c r="AD40" s="37">
        <v>0</v>
      </c>
      <c r="AE40" s="37">
        <v>0</v>
      </c>
      <c r="AF40" s="37">
        <v>0</v>
      </c>
      <c r="AG40" s="37">
        <v>0</v>
      </c>
      <c r="AH40" s="37">
        <v>0</v>
      </c>
      <c r="AI40" cm="1">
        <f t="array" ref="AI40">SUM(C40:AH40)</f>
        <v>0</v>
      </c>
    </row>
    <row r="41" spans="1:35" x14ac:dyDescent="0.25">
      <c r="A41">
        <v>32</v>
      </c>
      <c r="B41" t="s">
        <v>71</v>
      </c>
      <c r="C41" s="37">
        <v>0</v>
      </c>
      <c r="D41" s="37">
        <v>550</v>
      </c>
      <c r="E41" s="37">
        <v>0</v>
      </c>
      <c r="F41" s="37">
        <v>0</v>
      </c>
      <c r="G41" s="37">
        <v>1100</v>
      </c>
      <c r="H41" s="37">
        <v>0</v>
      </c>
      <c r="I41" s="37">
        <v>550</v>
      </c>
      <c r="J41" s="37">
        <v>0</v>
      </c>
      <c r="K41" s="37">
        <v>0</v>
      </c>
      <c r="L41" s="37">
        <v>550</v>
      </c>
      <c r="M41" s="37">
        <v>0</v>
      </c>
      <c r="N41" s="37">
        <v>550</v>
      </c>
      <c r="O41" s="37">
        <v>0</v>
      </c>
      <c r="P41" s="37">
        <v>0</v>
      </c>
      <c r="Q41" s="37">
        <v>0</v>
      </c>
      <c r="R41" s="37">
        <v>0</v>
      </c>
      <c r="S41" s="37">
        <v>0</v>
      </c>
      <c r="T41" s="37">
        <v>0</v>
      </c>
      <c r="U41" s="37">
        <v>0</v>
      </c>
      <c r="V41" s="37">
        <v>0</v>
      </c>
      <c r="W41" s="37">
        <v>0</v>
      </c>
      <c r="X41" s="37">
        <v>0</v>
      </c>
      <c r="Y41" s="37">
        <v>0</v>
      </c>
      <c r="Z41" s="37">
        <v>0</v>
      </c>
      <c r="AA41" s="37">
        <v>1100</v>
      </c>
      <c r="AB41" s="37">
        <v>0</v>
      </c>
      <c r="AC41" s="37">
        <v>550</v>
      </c>
      <c r="AD41" s="37">
        <v>0</v>
      </c>
      <c r="AE41" s="37">
        <v>0</v>
      </c>
      <c r="AF41" s="37">
        <v>0</v>
      </c>
      <c r="AG41" s="37">
        <v>0</v>
      </c>
      <c r="AH41" s="37">
        <v>0</v>
      </c>
      <c r="AI41" cm="1">
        <f t="array" ref="AI41">SUM(C41:AH41)</f>
        <v>4950</v>
      </c>
    </row>
    <row r="42" spans="1:35" x14ac:dyDescent="0.25">
      <c r="A42">
        <v>33</v>
      </c>
      <c r="B42" t="s">
        <v>72</v>
      </c>
      <c r="C42" s="37">
        <v>0</v>
      </c>
      <c r="D42" s="37">
        <v>0</v>
      </c>
      <c r="E42" s="37">
        <v>450</v>
      </c>
      <c r="F42" s="37">
        <v>0</v>
      </c>
      <c r="G42" s="37">
        <v>0</v>
      </c>
      <c r="H42" s="37">
        <v>0</v>
      </c>
      <c r="I42" s="37">
        <v>0</v>
      </c>
      <c r="J42" s="37">
        <v>0</v>
      </c>
      <c r="K42" s="37">
        <v>0</v>
      </c>
      <c r="L42" s="37">
        <v>0</v>
      </c>
      <c r="M42" s="37">
        <v>0</v>
      </c>
      <c r="N42" s="37">
        <v>450</v>
      </c>
      <c r="O42" s="37">
        <v>0</v>
      </c>
      <c r="P42" s="37">
        <v>0</v>
      </c>
      <c r="Q42" s="37">
        <v>0</v>
      </c>
      <c r="R42" s="37">
        <v>0</v>
      </c>
      <c r="S42" s="37">
        <v>0</v>
      </c>
      <c r="T42" s="37">
        <v>0</v>
      </c>
      <c r="U42" s="37">
        <v>0</v>
      </c>
      <c r="V42" s="37">
        <v>0</v>
      </c>
      <c r="W42" s="37">
        <v>0</v>
      </c>
      <c r="X42" s="37">
        <v>0</v>
      </c>
      <c r="Y42" s="37">
        <v>450</v>
      </c>
      <c r="Z42" s="37">
        <v>0</v>
      </c>
      <c r="AA42" s="37">
        <v>0</v>
      </c>
      <c r="AB42" s="37">
        <v>0</v>
      </c>
      <c r="AC42" s="37">
        <v>0</v>
      </c>
      <c r="AD42" s="37">
        <v>0</v>
      </c>
      <c r="AE42" s="37">
        <v>0</v>
      </c>
      <c r="AF42" s="37">
        <v>0</v>
      </c>
      <c r="AG42" s="37">
        <v>0</v>
      </c>
      <c r="AH42" s="37">
        <v>0</v>
      </c>
      <c r="AI42" cm="1">
        <f t="array" ref="AI42">SUM(C42:AH42)</f>
        <v>1350</v>
      </c>
    </row>
    <row r="43" spans="1:35" x14ac:dyDescent="0.25">
      <c r="A43">
        <v>34</v>
      </c>
      <c r="B43" t="s">
        <v>73</v>
      </c>
      <c r="C43" s="37">
        <v>2343.6</v>
      </c>
      <c r="D43" s="37">
        <v>0</v>
      </c>
      <c r="E43" s="37">
        <v>0</v>
      </c>
      <c r="F43" s="37">
        <v>0</v>
      </c>
      <c r="G43" s="37">
        <v>2726.1</v>
      </c>
      <c r="H43" s="37">
        <v>1517.4</v>
      </c>
      <c r="I43" s="37">
        <v>1517.4</v>
      </c>
      <c r="J43" s="37">
        <v>1517.4</v>
      </c>
      <c r="K43" s="37">
        <v>2726.1</v>
      </c>
      <c r="L43" s="37">
        <v>0</v>
      </c>
      <c r="M43" s="37">
        <v>3176.1</v>
      </c>
      <c r="N43" s="37">
        <v>5002.2</v>
      </c>
      <c r="O43" s="37">
        <v>4526.1000000000004</v>
      </c>
      <c r="P43" s="37">
        <v>5243.6</v>
      </c>
      <c r="Q43" s="37">
        <v>0</v>
      </c>
      <c r="R43" s="37">
        <v>3150</v>
      </c>
      <c r="S43" s="37">
        <v>1487.2</v>
      </c>
      <c r="T43" s="37">
        <v>0</v>
      </c>
      <c r="U43" s="37">
        <v>1487.2</v>
      </c>
      <c r="V43" s="37">
        <v>8926.2000000000007</v>
      </c>
      <c r="W43" s="37">
        <v>11168</v>
      </c>
      <c r="X43" s="37">
        <v>11037</v>
      </c>
      <c r="Y43" s="37">
        <v>14326.2</v>
      </c>
      <c r="Z43" s="37">
        <v>12700.8</v>
      </c>
      <c r="AA43" s="37">
        <v>7481.5</v>
      </c>
      <c r="AB43" s="37">
        <v>450</v>
      </c>
      <c r="AC43" s="37">
        <v>900</v>
      </c>
      <c r="AD43" s="37">
        <v>0</v>
      </c>
      <c r="AE43" s="37">
        <v>900</v>
      </c>
      <c r="AF43" s="37">
        <v>1800</v>
      </c>
      <c r="AG43" s="37">
        <v>2194.5</v>
      </c>
      <c r="AH43" s="37">
        <v>6189</v>
      </c>
      <c r="AI43" cm="1">
        <f t="array" ref="AI43">SUM(C43:AH43)</f>
        <v>114493.59999999999</v>
      </c>
    </row>
    <row r="44" spans="1:35" x14ac:dyDescent="0.25">
      <c r="A44">
        <v>35</v>
      </c>
      <c r="B44" t="s">
        <v>74</v>
      </c>
      <c r="C44" s="37">
        <v>0</v>
      </c>
      <c r="D44" s="37">
        <v>0</v>
      </c>
      <c r="E44" s="37">
        <v>0</v>
      </c>
      <c r="F44" s="37">
        <v>0</v>
      </c>
      <c r="G44" s="37">
        <v>0</v>
      </c>
      <c r="H44" s="37">
        <v>0</v>
      </c>
      <c r="I44" s="37">
        <v>0</v>
      </c>
      <c r="J44" s="37">
        <v>450</v>
      </c>
      <c r="K44" s="37">
        <v>450</v>
      </c>
      <c r="L44" s="37">
        <v>0</v>
      </c>
      <c r="M44" s="37">
        <v>0</v>
      </c>
      <c r="N44" s="37">
        <v>450</v>
      </c>
      <c r="O44" s="37">
        <v>0</v>
      </c>
      <c r="P44" s="37">
        <v>2250</v>
      </c>
      <c r="Q44" s="37">
        <v>0</v>
      </c>
      <c r="R44" s="37">
        <v>2250</v>
      </c>
      <c r="S44" s="37">
        <v>0</v>
      </c>
      <c r="T44" s="37">
        <v>4500</v>
      </c>
      <c r="U44" s="37">
        <v>0</v>
      </c>
      <c r="V44" s="37">
        <v>0</v>
      </c>
      <c r="W44" s="37">
        <v>9450</v>
      </c>
      <c r="X44" s="37">
        <v>5850</v>
      </c>
      <c r="Y44" s="37">
        <v>7650</v>
      </c>
      <c r="Z44" s="37">
        <v>5850</v>
      </c>
      <c r="AA44" s="37">
        <v>2700</v>
      </c>
      <c r="AB44" s="37">
        <v>0</v>
      </c>
      <c r="AC44" s="37">
        <v>0</v>
      </c>
      <c r="AD44" s="37">
        <v>0</v>
      </c>
      <c r="AE44" s="37">
        <v>450</v>
      </c>
      <c r="AF44" s="37">
        <v>1350</v>
      </c>
      <c r="AG44" s="37">
        <v>0</v>
      </c>
      <c r="AH44" s="37">
        <v>1350</v>
      </c>
      <c r="AI44" cm="1">
        <f t="array" ref="AI44">SUM(C44:AH44)</f>
        <v>45000</v>
      </c>
    </row>
    <row r="45" spans="1:35" x14ac:dyDescent="0.25">
      <c r="A45">
        <v>36</v>
      </c>
      <c r="B45" t="s">
        <v>75</v>
      </c>
      <c r="C45" s="37">
        <v>0</v>
      </c>
      <c r="D45" s="37">
        <v>1750</v>
      </c>
      <c r="E45" s="37">
        <v>0</v>
      </c>
      <c r="F45" s="37">
        <v>0</v>
      </c>
      <c r="G45" s="37">
        <v>0</v>
      </c>
      <c r="H45" s="37">
        <v>0</v>
      </c>
      <c r="I45" s="37">
        <v>1050</v>
      </c>
      <c r="J45" s="37">
        <v>0</v>
      </c>
      <c r="K45" s="37">
        <v>0</v>
      </c>
      <c r="L45" s="37">
        <v>0</v>
      </c>
      <c r="M45" s="37">
        <v>350</v>
      </c>
      <c r="N45" s="37">
        <v>0</v>
      </c>
      <c r="O45" s="37">
        <v>700</v>
      </c>
      <c r="P45" s="37">
        <v>0</v>
      </c>
      <c r="Q45" s="37">
        <v>0</v>
      </c>
      <c r="R45" s="37">
        <v>0</v>
      </c>
      <c r="S45" s="37">
        <v>0</v>
      </c>
      <c r="T45" s="37">
        <v>0</v>
      </c>
      <c r="U45" s="37">
        <v>700</v>
      </c>
      <c r="V45" s="37">
        <v>0</v>
      </c>
      <c r="W45" s="37">
        <v>0</v>
      </c>
      <c r="X45" s="37">
        <v>0</v>
      </c>
      <c r="Y45" s="37">
        <v>0</v>
      </c>
      <c r="Z45" s="37">
        <v>0</v>
      </c>
      <c r="AA45" s="37">
        <v>0</v>
      </c>
      <c r="AB45" s="37">
        <v>0</v>
      </c>
      <c r="AC45" s="37">
        <v>700</v>
      </c>
      <c r="AD45" s="37">
        <v>0</v>
      </c>
      <c r="AE45" s="37">
        <v>0</v>
      </c>
      <c r="AF45" s="37">
        <v>0</v>
      </c>
      <c r="AG45" s="37">
        <v>0</v>
      </c>
      <c r="AH45" s="37">
        <v>0</v>
      </c>
      <c r="AI45" cm="1">
        <f t="array" ref="AI45">SUM(C45:AH45)</f>
        <v>5250</v>
      </c>
    </row>
    <row r="46" spans="1:35" x14ac:dyDescent="0.25">
      <c r="A46">
        <v>37</v>
      </c>
      <c r="B46" t="s">
        <v>76</v>
      </c>
      <c r="C46" s="37">
        <v>0</v>
      </c>
      <c r="D46" s="37">
        <v>0</v>
      </c>
      <c r="E46" s="37">
        <v>0</v>
      </c>
      <c r="F46" s="37">
        <v>0</v>
      </c>
      <c r="G46" s="37">
        <v>0</v>
      </c>
      <c r="H46" s="37">
        <v>0</v>
      </c>
      <c r="I46" s="37">
        <v>0</v>
      </c>
      <c r="J46" s="37">
        <v>0</v>
      </c>
      <c r="K46" s="37">
        <v>0</v>
      </c>
      <c r="L46" s="37">
        <v>0</v>
      </c>
      <c r="M46" s="37">
        <v>0</v>
      </c>
      <c r="N46" s="37">
        <v>0</v>
      </c>
      <c r="O46" s="37">
        <v>0</v>
      </c>
      <c r="P46" s="37">
        <v>0</v>
      </c>
      <c r="Q46" s="37">
        <v>0</v>
      </c>
      <c r="R46" s="37">
        <v>0</v>
      </c>
      <c r="S46" s="37">
        <v>0</v>
      </c>
      <c r="T46" s="37">
        <v>0</v>
      </c>
      <c r="U46" s="37">
        <v>0</v>
      </c>
      <c r="V46" s="37">
        <v>0</v>
      </c>
      <c r="W46" s="37">
        <v>0</v>
      </c>
      <c r="X46" s="37">
        <v>0</v>
      </c>
      <c r="Y46" s="37">
        <v>0</v>
      </c>
      <c r="Z46" s="37">
        <v>0</v>
      </c>
      <c r="AA46" s="37">
        <v>0</v>
      </c>
      <c r="AB46" s="37">
        <v>360</v>
      </c>
      <c r="AC46" s="37">
        <v>0</v>
      </c>
      <c r="AD46" s="37">
        <v>0</v>
      </c>
      <c r="AE46" s="37">
        <v>0</v>
      </c>
      <c r="AF46" s="37">
        <v>0</v>
      </c>
      <c r="AG46" s="37">
        <v>0</v>
      </c>
      <c r="AH46" s="37">
        <v>0</v>
      </c>
      <c r="AI46" cm="1">
        <f t="array" ref="AI46">SUM(C46:AH46)</f>
        <v>360</v>
      </c>
    </row>
    <row r="47" spans="1:35" x14ac:dyDescent="0.25">
      <c r="A47">
        <v>38</v>
      </c>
      <c r="B47" t="s">
        <v>77</v>
      </c>
      <c r="C47" s="37">
        <v>0</v>
      </c>
      <c r="D47" s="37">
        <v>0</v>
      </c>
      <c r="E47" s="37">
        <v>0</v>
      </c>
      <c r="F47" s="37">
        <v>0</v>
      </c>
      <c r="G47" s="37">
        <v>0</v>
      </c>
      <c r="H47" s="37">
        <v>0</v>
      </c>
      <c r="I47" s="37">
        <v>0</v>
      </c>
      <c r="J47" s="37">
        <v>0</v>
      </c>
      <c r="K47" s="37">
        <v>0</v>
      </c>
      <c r="L47" s="37">
        <v>0</v>
      </c>
      <c r="M47" s="37">
        <v>0</v>
      </c>
      <c r="N47" s="37">
        <v>0</v>
      </c>
      <c r="O47" s="37">
        <v>0</v>
      </c>
      <c r="P47" s="37">
        <v>0</v>
      </c>
      <c r="Q47" s="37">
        <v>0</v>
      </c>
      <c r="R47" s="37">
        <v>0</v>
      </c>
      <c r="S47" s="37">
        <v>0</v>
      </c>
      <c r="T47" s="37">
        <v>0</v>
      </c>
      <c r="U47" s="37">
        <v>0</v>
      </c>
      <c r="V47" s="37">
        <v>0</v>
      </c>
      <c r="W47" s="37">
        <v>0</v>
      </c>
      <c r="X47" s="37">
        <v>0</v>
      </c>
      <c r="Y47" s="37">
        <v>0</v>
      </c>
      <c r="Z47" s="37">
        <v>0</v>
      </c>
      <c r="AA47" s="37">
        <v>0</v>
      </c>
      <c r="AB47" s="37">
        <v>0</v>
      </c>
      <c r="AC47" s="37">
        <v>0</v>
      </c>
      <c r="AD47" s="37">
        <v>0</v>
      </c>
      <c r="AE47" s="37">
        <v>0</v>
      </c>
      <c r="AF47" s="37">
        <v>700</v>
      </c>
      <c r="AG47" s="37">
        <v>0</v>
      </c>
      <c r="AH47" s="37">
        <v>0</v>
      </c>
      <c r="AI47" cm="1">
        <f t="array" ref="AI47">SUM(C47:AH47)</f>
        <v>700</v>
      </c>
    </row>
    <row r="48" spans="1:35" x14ac:dyDescent="0.25">
      <c r="A48">
        <v>39</v>
      </c>
      <c r="B48" t="s">
        <v>78</v>
      </c>
      <c r="C48" s="37">
        <v>500</v>
      </c>
      <c r="D48" s="37">
        <v>0</v>
      </c>
      <c r="E48" s="37">
        <v>0</v>
      </c>
      <c r="F48" s="37">
        <v>0</v>
      </c>
      <c r="G48" s="37">
        <v>0</v>
      </c>
      <c r="H48" s="37">
        <v>0</v>
      </c>
      <c r="I48" s="37">
        <v>0</v>
      </c>
      <c r="J48" s="37">
        <v>0</v>
      </c>
      <c r="K48" s="37">
        <v>0</v>
      </c>
      <c r="L48" s="37">
        <v>0</v>
      </c>
      <c r="M48" s="37">
        <v>0</v>
      </c>
      <c r="N48" s="37">
        <v>0</v>
      </c>
      <c r="O48" s="37">
        <v>0</v>
      </c>
      <c r="P48" s="37">
        <v>0</v>
      </c>
      <c r="Q48" s="37">
        <v>500</v>
      </c>
      <c r="R48" s="37">
        <v>0</v>
      </c>
      <c r="S48" s="37">
        <v>0</v>
      </c>
      <c r="T48" s="37">
        <v>0</v>
      </c>
      <c r="U48" s="37">
        <v>0</v>
      </c>
      <c r="V48" s="37">
        <v>0</v>
      </c>
      <c r="W48" s="37">
        <v>0</v>
      </c>
      <c r="X48" s="37">
        <v>0</v>
      </c>
      <c r="Y48" s="37">
        <v>0</v>
      </c>
      <c r="Z48" s="37">
        <v>0</v>
      </c>
      <c r="AA48" s="37">
        <v>500</v>
      </c>
      <c r="AB48" s="37">
        <v>0</v>
      </c>
      <c r="AC48" s="37">
        <v>0</v>
      </c>
      <c r="AD48" s="37">
        <v>0</v>
      </c>
      <c r="AE48" s="37">
        <v>0</v>
      </c>
      <c r="AF48" s="37">
        <v>0</v>
      </c>
      <c r="AG48" s="37">
        <v>0</v>
      </c>
      <c r="AH48" s="37">
        <v>0</v>
      </c>
      <c r="AI48" cm="1">
        <f t="array" ref="AI48">SUM(C48:AH48)</f>
        <v>1500</v>
      </c>
    </row>
    <row r="49" spans="1:35" x14ac:dyDescent="0.25">
      <c r="A49">
        <v>40</v>
      </c>
      <c r="B49" t="s">
        <v>79</v>
      </c>
      <c r="C49" s="37">
        <v>0</v>
      </c>
      <c r="D49" s="37">
        <v>0</v>
      </c>
      <c r="E49" s="37">
        <v>600</v>
      </c>
      <c r="F49" s="37">
        <v>0</v>
      </c>
      <c r="G49" s="37">
        <v>0</v>
      </c>
      <c r="H49" s="37">
        <v>0</v>
      </c>
      <c r="I49" s="37">
        <v>0</v>
      </c>
      <c r="J49" s="37">
        <v>0</v>
      </c>
      <c r="K49" s="37">
        <v>0</v>
      </c>
      <c r="L49" s="37">
        <v>0</v>
      </c>
      <c r="M49" s="37">
        <v>0</v>
      </c>
      <c r="N49" s="37">
        <v>0</v>
      </c>
      <c r="O49" s="37">
        <v>0</v>
      </c>
      <c r="P49" s="37">
        <v>600</v>
      </c>
      <c r="Q49" s="37">
        <v>0</v>
      </c>
      <c r="R49" s="37">
        <v>600</v>
      </c>
      <c r="S49" s="37">
        <v>0</v>
      </c>
      <c r="T49" s="37">
        <v>0</v>
      </c>
      <c r="U49" s="37">
        <v>0</v>
      </c>
      <c r="V49" s="37">
        <v>0</v>
      </c>
      <c r="W49" s="37">
        <v>0</v>
      </c>
      <c r="X49" s="37">
        <v>0</v>
      </c>
      <c r="Y49" s="37">
        <v>0</v>
      </c>
      <c r="Z49" s="37">
        <v>600</v>
      </c>
      <c r="AA49" s="37">
        <v>0</v>
      </c>
      <c r="AB49" s="37">
        <v>0</v>
      </c>
      <c r="AC49" s="37">
        <v>0</v>
      </c>
      <c r="AD49" s="37">
        <v>600</v>
      </c>
      <c r="AE49" s="37">
        <v>0</v>
      </c>
      <c r="AF49" s="37">
        <v>0</v>
      </c>
      <c r="AG49" s="37">
        <v>0</v>
      </c>
      <c r="AH49" s="37">
        <v>0</v>
      </c>
      <c r="AI49" cm="1">
        <f t="array" ref="AI49">SUM(C49:AH49)</f>
        <v>3000</v>
      </c>
    </row>
    <row r="50" spans="1:35" x14ac:dyDescent="0.25">
      <c r="A50">
        <v>41</v>
      </c>
      <c r="B50" t="s">
        <v>80</v>
      </c>
      <c r="C50" s="37">
        <v>0</v>
      </c>
      <c r="D50" s="37">
        <v>0</v>
      </c>
      <c r="E50" s="37">
        <v>600</v>
      </c>
      <c r="F50" s="37">
        <v>0</v>
      </c>
      <c r="G50" s="37">
        <v>0</v>
      </c>
      <c r="H50" s="37">
        <v>0</v>
      </c>
      <c r="I50" s="37">
        <v>0</v>
      </c>
      <c r="J50" s="37">
        <v>0</v>
      </c>
      <c r="K50" s="37">
        <v>0</v>
      </c>
      <c r="L50" s="37">
        <v>0</v>
      </c>
      <c r="M50" s="37">
        <v>0</v>
      </c>
      <c r="N50" s="37">
        <v>0</v>
      </c>
      <c r="O50" s="37">
        <v>0</v>
      </c>
      <c r="P50" s="37">
        <v>0</v>
      </c>
      <c r="Q50" s="37">
        <v>0</v>
      </c>
      <c r="R50" s="37">
        <v>600</v>
      </c>
      <c r="S50" s="37">
        <v>0</v>
      </c>
      <c r="T50" s="37">
        <v>600</v>
      </c>
      <c r="U50" s="37">
        <v>0</v>
      </c>
      <c r="V50" s="37">
        <v>0</v>
      </c>
      <c r="W50" s="37">
        <v>0</v>
      </c>
      <c r="X50" s="37">
        <v>0</v>
      </c>
      <c r="Y50" s="37">
        <v>0</v>
      </c>
      <c r="Z50" s="37">
        <v>0</v>
      </c>
      <c r="AA50" s="37">
        <v>0</v>
      </c>
      <c r="AB50" s="37">
        <v>600</v>
      </c>
      <c r="AC50" s="37">
        <v>0</v>
      </c>
      <c r="AD50" s="37">
        <v>600</v>
      </c>
      <c r="AE50" s="37">
        <v>0</v>
      </c>
      <c r="AF50" s="37">
        <v>0</v>
      </c>
      <c r="AG50" s="37">
        <v>0</v>
      </c>
      <c r="AH50" s="37">
        <v>0</v>
      </c>
      <c r="AI50" cm="1">
        <f t="array" ref="AI50">SUM(C50:AH50)</f>
        <v>3000</v>
      </c>
    </row>
    <row r="51" spans="1:35" x14ac:dyDescent="0.25">
      <c r="A51">
        <v>42</v>
      </c>
      <c r="B51" t="s">
        <v>81</v>
      </c>
      <c r="C51" s="37">
        <v>350</v>
      </c>
      <c r="D51" s="37">
        <v>0</v>
      </c>
      <c r="E51" s="37">
        <v>350</v>
      </c>
      <c r="F51" s="37">
        <v>0</v>
      </c>
      <c r="G51" s="37">
        <v>0</v>
      </c>
      <c r="H51" s="37">
        <v>0</v>
      </c>
      <c r="I51" s="37">
        <v>0</v>
      </c>
      <c r="J51" s="37">
        <v>0</v>
      </c>
      <c r="K51" s="37">
        <v>700</v>
      </c>
      <c r="L51" s="37">
        <v>0</v>
      </c>
      <c r="M51" s="37">
        <v>0</v>
      </c>
      <c r="N51" s="37">
        <v>0</v>
      </c>
      <c r="O51" s="37">
        <v>0</v>
      </c>
      <c r="P51" s="37">
        <v>0</v>
      </c>
      <c r="Q51" s="37">
        <v>0</v>
      </c>
      <c r="R51" s="37">
        <v>1050</v>
      </c>
      <c r="S51" s="37">
        <v>350</v>
      </c>
      <c r="T51" s="37">
        <v>0</v>
      </c>
      <c r="U51" s="37">
        <v>350</v>
      </c>
      <c r="V51" s="37">
        <v>0</v>
      </c>
      <c r="W51" s="37">
        <v>350</v>
      </c>
      <c r="X51" s="37">
        <v>0</v>
      </c>
      <c r="Y51" s="37">
        <v>0</v>
      </c>
      <c r="Z51" s="37">
        <v>0</v>
      </c>
      <c r="AA51" s="37">
        <v>1050</v>
      </c>
      <c r="AB51" s="37">
        <v>0</v>
      </c>
      <c r="AC51" s="37">
        <v>1050</v>
      </c>
      <c r="AD51" s="37">
        <v>0</v>
      </c>
      <c r="AE51" s="37">
        <v>350</v>
      </c>
      <c r="AF51" s="37">
        <v>0</v>
      </c>
      <c r="AG51" s="37">
        <v>700</v>
      </c>
      <c r="AH51" s="37">
        <v>0</v>
      </c>
      <c r="AI51" cm="1">
        <f t="array" ref="AI51">SUM(C51:AH51)</f>
        <v>6650</v>
      </c>
    </row>
    <row r="52" spans="1:35" x14ac:dyDescent="0.25">
      <c r="A52">
        <v>43</v>
      </c>
      <c r="B52" t="s">
        <v>82</v>
      </c>
      <c r="C52" s="37">
        <v>0</v>
      </c>
      <c r="D52" s="37">
        <v>240</v>
      </c>
      <c r="E52" s="37">
        <v>0</v>
      </c>
      <c r="F52" s="37">
        <v>0</v>
      </c>
      <c r="G52" s="37">
        <v>1200</v>
      </c>
      <c r="H52" s="37">
        <v>4320</v>
      </c>
      <c r="I52" s="37">
        <v>1680</v>
      </c>
      <c r="J52" s="37">
        <v>0</v>
      </c>
      <c r="K52" s="37">
        <v>480</v>
      </c>
      <c r="L52" s="37">
        <v>0</v>
      </c>
      <c r="M52" s="37">
        <v>0</v>
      </c>
      <c r="N52" s="37">
        <v>240</v>
      </c>
      <c r="O52" s="37">
        <v>0</v>
      </c>
      <c r="P52" s="37">
        <v>480</v>
      </c>
      <c r="Q52" s="37">
        <v>0</v>
      </c>
      <c r="R52" s="37">
        <v>0</v>
      </c>
      <c r="S52" s="37">
        <v>480</v>
      </c>
      <c r="T52" s="37">
        <v>480</v>
      </c>
      <c r="U52" s="37">
        <v>0</v>
      </c>
      <c r="V52" s="37">
        <v>0</v>
      </c>
      <c r="W52" s="37">
        <v>0</v>
      </c>
      <c r="X52" s="37">
        <v>0</v>
      </c>
      <c r="Y52" s="37">
        <v>0</v>
      </c>
      <c r="Z52" s="37">
        <v>0</v>
      </c>
      <c r="AA52" s="37">
        <v>0</v>
      </c>
      <c r="AB52" s="37">
        <v>0</v>
      </c>
      <c r="AC52" s="37">
        <v>0</v>
      </c>
      <c r="AD52" s="37">
        <v>0</v>
      </c>
      <c r="AE52" s="37">
        <v>0</v>
      </c>
      <c r="AF52" s="37">
        <v>0</v>
      </c>
      <c r="AG52" s="37">
        <v>0</v>
      </c>
      <c r="AH52" s="37">
        <v>0</v>
      </c>
      <c r="AI52" cm="1">
        <f t="array" ref="AI52">SUM(C52:AH52)</f>
        <v>9600</v>
      </c>
    </row>
    <row r="53" spans="1:35" x14ac:dyDescent="0.25">
      <c r="A53">
        <v>44</v>
      </c>
      <c r="B53" t="s">
        <v>83</v>
      </c>
      <c r="C53" s="37">
        <v>460</v>
      </c>
      <c r="D53" s="37">
        <v>690</v>
      </c>
      <c r="E53" s="37">
        <v>690</v>
      </c>
      <c r="F53" s="37">
        <v>690</v>
      </c>
      <c r="G53" s="37">
        <v>1380</v>
      </c>
      <c r="H53" s="37">
        <v>460</v>
      </c>
      <c r="I53" s="37">
        <v>2530</v>
      </c>
      <c r="J53" s="37">
        <v>1150</v>
      </c>
      <c r="K53" s="37">
        <v>838.4</v>
      </c>
      <c r="L53" s="37">
        <v>690</v>
      </c>
      <c r="M53" s="37">
        <v>1758.4</v>
      </c>
      <c r="N53" s="37">
        <v>1150</v>
      </c>
      <c r="O53" s="37">
        <v>230</v>
      </c>
      <c r="P53" s="37">
        <v>460</v>
      </c>
      <c r="Q53" s="37">
        <v>1840</v>
      </c>
      <c r="R53" s="37">
        <v>460</v>
      </c>
      <c r="S53" s="37">
        <v>2300</v>
      </c>
      <c r="T53" s="37">
        <v>920</v>
      </c>
      <c r="U53" s="37">
        <v>230</v>
      </c>
      <c r="V53" s="37">
        <v>690</v>
      </c>
      <c r="W53" s="37">
        <v>920</v>
      </c>
      <c r="X53" s="37">
        <v>460</v>
      </c>
      <c r="Y53" s="37">
        <v>460</v>
      </c>
      <c r="Z53" s="37">
        <v>460</v>
      </c>
      <c r="AA53" s="37">
        <v>0</v>
      </c>
      <c r="AB53" s="37">
        <v>0</v>
      </c>
      <c r="AC53" s="37">
        <v>0</v>
      </c>
      <c r="AD53" s="37">
        <v>0</v>
      </c>
      <c r="AE53" s="37">
        <v>0</v>
      </c>
      <c r="AF53" s="37">
        <v>0</v>
      </c>
      <c r="AG53" s="37">
        <v>0</v>
      </c>
      <c r="AH53" s="37">
        <v>0</v>
      </c>
      <c r="AI53" cm="1">
        <f t="array" ref="AI53">SUM(C53:AH53)</f>
        <v>21916.799999999999</v>
      </c>
    </row>
    <row r="54" spans="1:35" x14ac:dyDescent="0.25">
      <c r="A54">
        <v>45</v>
      </c>
      <c r="B54" t="s">
        <v>84</v>
      </c>
      <c r="C54" s="37">
        <v>0</v>
      </c>
      <c r="D54" s="37">
        <v>0</v>
      </c>
      <c r="E54" s="37">
        <v>1050</v>
      </c>
      <c r="F54" s="37">
        <v>1050</v>
      </c>
      <c r="G54" s="37">
        <v>0</v>
      </c>
      <c r="H54" s="37">
        <v>1050</v>
      </c>
      <c r="I54" s="37">
        <v>1050</v>
      </c>
      <c r="J54" s="37">
        <v>0</v>
      </c>
      <c r="K54" s="37">
        <v>0</v>
      </c>
      <c r="L54" s="37">
        <v>0</v>
      </c>
      <c r="M54" s="37">
        <v>0</v>
      </c>
      <c r="N54" s="37">
        <v>0</v>
      </c>
      <c r="O54" s="37">
        <v>0</v>
      </c>
      <c r="P54" s="37">
        <v>1050</v>
      </c>
      <c r="Q54" s="37">
        <v>2100</v>
      </c>
      <c r="R54" s="37">
        <v>2100</v>
      </c>
      <c r="S54" s="37">
        <v>1150</v>
      </c>
      <c r="T54" s="37">
        <v>0</v>
      </c>
      <c r="U54" s="37">
        <v>0</v>
      </c>
      <c r="V54" s="37">
        <v>0</v>
      </c>
      <c r="W54" s="37">
        <v>0</v>
      </c>
      <c r="X54" s="37">
        <v>0</v>
      </c>
      <c r="Y54" s="37">
        <v>0</v>
      </c>
      <c r="Z54" s="37">
        <v>0</v>
      </c>
      <c r="AA54" s="37">
        <v>0</v>
      </c>
      <c r="AB54" s="37">
        <v>0</v>
      </c>
      <c r="AC54" s="37">
        <v>0</v>
      </c>
      <c r="AD54" s="37">
        <v>0</v>
      </c>
      <c r="AE54" s="37">
        <v>0</v>
      </c>
      <c r="AF54" s="37">
        <v>0</v>
      </c>
      <c r="AG54" s="37">
        <v>0</v>
      </c>
      <c r="AH54" s="37">
        <v>0</v>
      </c>
      <c r="AI54" cm="1">
        <f t="array" ref="AI54">SUM(C54:AH54)</f>
        <v>10600</v>
      </c>
    </row>
    <row r="55" spans="1:35" x14ac:dyDescent="0.25">
      <c r="A55">
        <v>46</v>
      </c>
      <c r="B55" t="s">
        <v>85</v>
      </c>
      <c r="C55" s="37">
        <v>4800</v>
      </c>
      <c r="D55" s="37">
        <v>4800</v>
      </c>
      <c r="E55" s="37">
        <v>4800</v>
      </c>
      <c r="F55" s="37">
        <v>4000</v>
      </c>
      <c r="G55" s="37">
        <v>4320</v>
      </c>
      <c r="H55" s="37">
        <v>480</v>
      </c>
      <c r="I55" s="37">
        <v>9600</v>
      </c>
      <c r="J55" s="37">
        <v>2400</v>
      </c>
      <c r="K55" s="37">
        <v>5600</v>
      </c>
      <c r="L55" s="37">
        <v>7200</v>
      </c>
      <c r="M55" s="37">
        <v>4000</v>
      </c>
      <c r="N55" s="37">
        <v>4800</v>
      </c>
      <c r="O55" s="37">
        <v>3200</v>
      </c>
      <c r="P55" s="37">
        <v>6400</v>
      </c>
      <c r="Q55" s="37">
        <v>4000</v>
      </c>
      <c r="R55" s="37">
        <v>4800</v>
      </c>
      <c r="S55" s="37">
        <v>4000</v>
      </c>
      <c r="T55" s="37">
        <v>4800</v>
      </c>
      <c r="U55" s="37">
        <v>5600</v>
      </c>
      <c r="V55" s="37">
        <v>2400</v>
      </c>
      <c r="W55" s="37">
        <v>6000</v>
      </c>
      <c r="X55" s="37">
        <v>6000</v>
      </c>
      <c r="Y55" s="37">
        <v>4000</v>
      </c>
      <c r="Z55" s="37">
        <v>4400</v>
      </c>
      <c r="AA55" s="37">
        <v>6000</v>
      </c>
      <c r="AB55" s="37">
        <v>2800</v>
      </c>
      <c r="AC55" s="37">
        <v>4800</v>
      </c>
      <c r="AD55" s="37">
        <v>4800</v>
      </c>
      <c r="AE55" s="37">
        <v>4800</v>
      </c>
      <c r="AF55" s="37">
        <v>3200</v>
      </c>
      <c r="AG55" s="37">
        <v>4800</v>
      </c>
      <c r="AH55" s="37">
        <v>1600</v>
      </c>
      <c r="AI55" cm="1">
        <f t="array" ref="AI55">SUM(C55:AH55)</f>
        <v>145200</v>
      </c>
    </row>
    <row r="56" spans="1:35" x14ac:dyDescent="0.25">
      <c r="A56">
        <v>47</v>
      </c>
      <c r="B56" t="s">
        <v>86</v>
      </c>
      <c r="C56" s="37">
        <v>0</v>
      </c>
      <c r="D56" s="37">
        <v>0</v>
      </c>
      <c r="E56" s="37">
        <v>257</v>
      </c>
      <c r="F56" s="37">
        <v>0</v>
      </c>
      <c r="G56" s="37">
        <v>0</v>
      </c>
      <c r="H56" s="37">
        <v>0</v>
      </c>
      <c r="I56" s="37">
        <v>0</v>
      </c>
      <c r="J56" s="37">
        <v>0</v>
      </c>
      <c r="K56" s="37">
        <v>0</v>
      </c>
      <c r="L56" s="37">
        <v>257</v>
      </c>
      <c r="M56" s="37">
        <v>0</v>
      </c>
      <c r="N56" s="37">
        <v>0</v>
      </c>
      <c r="O56" s="37">
        <v>257</v>
      </c>
      <c r="P56" s="37">
        <v>0</v>
      </c>
      <c r="Q56" s="37">
        <v>0</v>
      </c>
      <c r="R56" s="37">
        <v>0</v>
      </c>
      <c r="S56" s="37">
        <v>0</v>
      </c>
      <c r="T56" s="37">
        <v>0</v>
      </c>
      <c r="U56" s="37">
        <v>0</v>
      </c>
      <c r="V56" s="37">
        <v>0</v>
      </c>
      <c r="W56" s="37">
        <v>0</v>
      </c>
      <c r="X56" s="37">
        <v>0</v>
      </c>
      <c r="Y56" s="37">
        <v>0</v>
      </c>
      <c r="Z56" s="37">
        <v>514</v>
      </c>
      <c r="AA56" s="37">
        <v>0</v>
      </c>
      <c r="AB56" s="37">
        <v>0</v>
      </c>
      <c r="AC56" s="37">
        <v>0</v>
      </c>
      <c r="AD56" s="37">
        <v>0</v>
      </c>
      <c r="AE56" s="37">
        <v>0</v>
      </c>
      <c r="AF56" s="37">
        <v>0</v>
      </c>
      <c r="AG56" s="37">
        <v>0</v>
      </c>
      <c r="AH56" s="37">
        <v>0</v>
      </c>
      <c r="AI56" cm="1">
        <f t="array" ref="AI56">SUM(C56:AH56)</f>
        <v>1285</v>
      </c>
    </row>
    <row r="57" spans="1:35" x14ac:dyDescent="0.25">
      <c r="A57">
        <v>48</v>
      </c>
      <c r="B57" t="s">
        <v>87</v>
      </c>
      <c r="C57" s="37">
        <v>160</v>
      </c>
      <c r="D57" s="37">
        <v>0</v>
      </c>
      <c r="E57" s="37">
        <v>0</v>
      </c>
      <c r="F57" s="37">
        <v>80</v>
      </c>
      <c r="G57" s="37">
        <v>80</v>
      </c>
      <c r="H57" s="37">
        <v>0</v>
      </c>
      <c r="I57" s="37">
        <v>0</v>
      </c>
      <c r="J57" s="37">
        <v>0</v>
      </c>
      <c r="K57" s="37">
        <v>240</v>
      </c>
      <c r="L57" s="37">
        <v>160</v>
      </c>
      <c r="M57" s="37">
        <v>160</v>
      </c>
      <c r="N57" s="37">
        <v>0</v>
      </c>
      <c r="O57" s="37">
        <v>240</v>
      </c>
      <c r="P57" s="37">
        <v>240</v>
      </c>
      <c r="Q57" s="37">
        <v>0</v>
      </c>
      <c r="R57" s="37">
        <v>0</v>
      </c>
      <c r="S57" s="37">
        <v>80</v>
      </c>
      <c r="T57" s="37">
        <v>0</v>
      </c>
      <c r="U57" s="37">
        <v>0</v>
      </c>
      <c r="V57" s="37">
        <v>0</v>
      </c>
      <c r="W57" s="37">
        <v>160</v>
      </c>
      <c r="X57" s="37">
        <v>0</v>
      </c>
      <c r="Y57" s="37">
        <v>160</v>
      </c>
      <c r="Z57" s="37">
        <v>240</v>
      </c>
      <c r="AA57" s="37">
        <v>0</v>
      </c>
      <c r="AB57" s="37">
        <v>160</v>
      </c>
      <c r="AC57" s="37">
        <v>80</v>
      </c>
      <c r="AD57" s="37">
        <v>80</v>
      </c>
      <c r="AE57" s="37">
        <v>0</v>
      </c>
      <c r="AF57" s="37">
        <v>0</v>
      </c>
      <c r="AG57" s="37">
        <v>80</v>
      </c>
      <c r="AH57" s="37">
        <v>0</v>
      </c>
      <c r="AI57" cm="1">
        <f t="array" ref="AI57">SUM(C57:AH57)</f>
        <v>2400</v>
      </c>
    </row>
    <row r="58" spans="1:35" x14ac:dyDescent="0.25">
      <c r="A58">
        <v>49</v>
      </c>
      <c r="B58" t="s">
        <v>88</v>
      </c>
      <c r="C58" s="37">
        <v>0</v>
      </c>
      <c r="D58" s="37">
        <v>758.7</v>
      </c>
      <c r="E58" s="37">
        <v>0</v>
      </c>
      <c r="F58" s="37">
        <v>0</v>
      </c>
      <c r="G58" s="37">
        <v>0</v>
      </c>
      <c r="H58" s="37">
        <v>0</v>
      </c>
      <c r="I58" s="37">
        <v>0</v>
      </c>
      <c r="J58" s="37">
        <v>0</v>
      </c>
      <c r="K58" s="37">
        <v>0</v>
      </c>
      <c r="L58" s="37">
        <v>0</v>
      </c>
      <c r="M58" s="37">
        <v>0</v>
      </c>
      <c r="N58" s="37">
        <v>0</v>
      </c>
      <c r="O58" s="37">
        <v>0</v>
      </c>
      <c r="P58" s="37">
        <v>0</v>
      </c>
      <c r="Q58" s="37">
        <v>0</v>
      </c>
      <c r="R58" s="37">
        <v>0</v>
      </c>
      <c r="S58" s="37">
        <v>0</v>
      </c>
      <c r="T58" s="37">
        <v>1450.8</v>
      </c>
      <c r="U58" s="37">
        <v>0</v>
      </c>
      <c r="V58" s="37">
        <v>0</v>
      </c>
      <c r="W58" s="37">
        <v>0</v>
      </c>
      <c r="X58" s="37">
        <v>0</v>
      </c>
      <c r="Y58" s="37">
        <v>1450.8</v>
      </c>
      <c r="Z58" s="37">
        <v>0</v>
      </c>
      <c r="AA58" s="37">
        <v>0</v>
      </c>
      <c r="AB58" s="37">
        <v>0</v>
      </c>
      <c r="AC58" s="37">
        <v>0</v>
      </c>
      <c r="AD58" s="37">
        <v>0</v>
      </c>
      <c r="AE58" s="37">
        <v>0</v>
      </c>
      <c r="AF58" s="37">
        <v>0</v>
      </c>
      <c r="AG58" s="37">
        <v>0</v>
      </c>
      <c r="AH58" s="37">
        <v>0</v>
      </c>
      <c r="AI58" cm="1">
        <f t="array" ref="AI58">SUM(C58:AH58)</f>
        <v>3660.3</v>
      </c>
    </row>
    <row r="59" spans="1:35" x14ac:dyDescent="0.25">
      <c r="A59">
        <v>50</v>
      </c>
      <c r="B59" t="s">
        <v>89</v>
      </c>
      <c r="C59" s="37">
        <v>0</v>
      </c>
      <c r="D59" s="37">
        <v>1980</v>
      </c>
      <c r="E59" s="37">
        <v>1980</v>
      </c>
      <c r="F59" s="37">
        <v>0</v>
      </c>
      <c r="G59" s="37">
        <v>3960</v>
      </c>
      <c r="H59" s="37">
        <v>0</v>
      </c>
      <c r="I59" s="37">
        <v>0</v>
      </c>
      <c r="J59" s="37">
        <v>550</v>
      </c>
      <c r="K59" s="37">
        <v>0</v>
      </c>
      <c r="L59" s="37">
        <v>0</v>
      </c>
      <c r="M59" s="37">
        <v>0</v>
      </c>
      <c r="N59" s="37">
        <v>0</v>
      </c>
      <c r="O59" s="37">
        <v>0</v>
      </c>
      <c r="P59" s="37">
        <v>0</v>
      </c>
      <c r="Q59" s="37">
        <v>0</v>
      </c>
      <c r="R59" s="37">
        <v>0</v>
      </c>
      <c r="S59" s="37">
        <v>0</v>
      </c>
      <c r="T59" s="37">
        <v>0</v>
      </c>
      <c r="U59" s="37">
        <v>0</v>
      </c>
      <c r="V59" s="37">
        <v>0</v>
      </c>
      <c r="W59" s="37">
        <v>0</v>
      </c>
      <c r="X59" s="37">
        <v>0</v>
      </c>
      <c r="Y59" s="37">
        <v>0</v>
      </c>
      <c r="Z59" s="37">
        <v>0</v>
      </c>
      <c r="AA59" s="37">
        <v>0</v>
      </c>
      <c r="AB59" s="37">
        <v>0</v>
      </c>
      <c r="AC59" s="37">
        <v>0</v>
      </c>
      <c r="AD59" s="37">
        <v>0</v>
      </c>
      <c r="AE59" s="37">
        <v>0</v>
      </c>
      <c r="AF59" s="37">
        <v>0</v>
      </c>
      <c r="AG59" s="37">
        <v>0</v>
      </c>
      <c r="AH59" s="37">
        <v>0</v>
      </c>
      <c r="AI59" cm="1">
        <f t="array" ref="AI59">SUM(C59:AH59)</f>
        <v>8470</v>
      </c>
    </row>
    <row r="60" spans="1:35" x14ac:dyDescent="0.25">
      <c r="A60">
        <v>51</v>
      </c>
      <c r="B60" t="s">
        <v>90</v>
      </c>
      <c r="C60" s="37">
        <v>0</v>
      </c>
      <c r="D60" s="37">
        <v>0</v>
      </c>
      <c r="E60" s="37">
        <v>0</v>
      </c>
      <c r="F60" s="37">
        <v>0</v>
      </c>
      <c r="G60" s="37">
        <v>0</v>
      </c>
      <c r="H60" s="37">
        <v>0</v>
      </c>
      <c r="I60" s="37">
        <v>0</v>
      </c>
      <c r="J60" s="37">
        <v>0</v>
      </c>
      <c r="K60" s="37">
        <v>0</v>
      </c>
      <c r="L60" s="37">
        <v>0</v>
      </c>
      <c r="M60" s="37">
        <v>0</v>
      </c>
      <c r="N60" s="37">
        <v>0</v>
      </c>
      <c r="O60" s="37">
        <v>0</v>
      </c>
      <c r="P60" s="37">
        <v>0</v>
      </c>
      <c r="Q60" s="37">
        <v>0</v>
      </c>
      <c r="R60" s="37">
        <v>0</v>
      </c>
      <c r="S60" s="37">
        <v>0</v>
      </c>
      <c r="T60" s="37">
        <v>0</v>
      </c>
      <c r="U60" s="37">
        <v>0</v>
      </c>
      <c r="V60" s="37">
        <v>0</v>
      </c>
      <c r="W60" s="37">
        <v>0</v>
      </c>
      <c r="X60" s="37">
        <v>0</v>
      </c>
      <c r="Y60" s="37">
        <v>0</v>
      </c>
      <c r="Z60" s="37">
        <v>0</v>
      </c>
      <c r="AA60" s="37">
        <v>0</v>
      </c>
      <c r="AB60" s="37">
        <v>0</v>
      </c>
      <c r="AC60" s="37">
        <v>0</v>
      </c>
      <c r="AD60" s="37">
        <v>0</v>
      </c>
      <c r="AE60" s="37">
        <v>0</v>
      </c>
      <c r="AF60" s="37">
        <v>0</v>
      </c>
      <c r="AG60" s="37">
        <v>0</v>
      </c>
      <c r="AH60" s="37">
        <v>0</v>
      </c>
      <c r="AI60" cm="1">
        <f t="array" ref="AI60">SUM(C60:AH60)</f>
        <v>0</v>
      </c>
    </row>
    <row r="61" spans="1:35" x14ac:dyDescent="0.25">
      <c r="A61">
        <v>52</v>
      </c>
      <c r="B61" t="s">
        <v>91</v>
      </c>
      <c r="C61" s="37">
        <v>0</v>
      </c>
      <c r="D61" s="37">
        <v>0</v>
      </c>
      <c r="E61" s="37">
        <v>0</v>
      </c>
      <c r="F61" s="37">
        <v>0</v>
      </c>
      <c r="G61" s="37">
        <v>1980</v>
      </c>
      <c r="H61" s="37">
        <v>1782</v>
      </c>
      <c r="I61" s="37">
        <v>1782</v>
      </c>
      <c r="J61" s="37">
        <v>1540</v>
      </c>
      <c r="K61" s="37">
        <v>0</v>
      </c>
      <c r="L61" s="37">
        <v>0</v>
      </c>
      <c r="M61" s="37">
        <v>0</v>
      </c>
      <c r="N61" s="37">
        <v>0</v>
      </c>
      <c r="O61" s="37">
        <v>0</v>
      </c>
      <c r="P61" s="37">
        <v>0</v>
      </c>
      <c r="Q61" s="37">
        <v>0</v>
      </c>
      <c r="R61" s="37">
        <v>0</v>
      </c>
      <c r="S61" s="37">
        <v>0</v>
      </c>
      <c r="T61" s="37">
        <v>0</v>
      </c>
      <c r="U61" s="37">
        <v>0</v>
      </c>
      <c r="V61" s="37">
        <v>0</v>
      </c>
      <c r="W61" s="37">
        <v>0</v>
      </c>
      <c r="X61" s="37">
        <v>0</v>
      </c>
      <c r="Y61" s="37">
        <v>0</v>
      </c>
      <c r="Z61" s="37">
        <v>0</v>
      </c>
      <c r="AA61" s="37">
        <v>0</v>
      </c>
      <c r="AB61" s="37">
        <v>0</v>
      </c>
      <c r="AC61" s="37">
        <v>0</v>
      </c>
      <c r="AD61" s="37">
        <v>0</v>
      </c>
      <c r="AE61" s="37">
        <v>0</v>
      </c>
      <c r="AF61" s="37">
        <v>0</v>
      </c>
      <c r="AG61" s="37">
        <v>0</v>
      </c>
      <c r="AH61" s="37">
        <v>0</v>
      </c>
      <c r="AI61" cm="1">
        <f t="array" ref="AI61">SUM(C61:AH61)</f>
        <v>7084</v>
      </c>
    </row>
    <row r="62" spans="1:35" x14ac:dyDescent="0.25">
      <c r="A62">
        <v>53</v>
      </c>
      <c r="B62" t="s">
        <v>92</v>
      </c>
      <c r="C62" s="37">
        <v>566.5</v>
      </c>
      <c r="D62" s="37">
        <v>0</v>
      </c>
      <c r="E62" s="37">
        <v>0</v>
      </c>
      <c r="F62" s="37">
        <v>0</v>
      </c>
      <c r="G62" s="37">
        <v>0</v>
      </c>
      <c r="H62" s="37">
        <v>0</v>
      </c>
      <c r="I62" s="37">
        <v>0</v>
      </c>
      <c r="J62" s="37">
        <v>0</v>
      </c>
      <c r="K62" s="37">
        <v>0</v>
      </c>
      <c r="L62" s="37">
        <v>0</v>
      </c>
      <c r="M62" s="37">
        <v>0</v>
      </c>
      <c r="N62" s="37">
        <v>0</v>
      </c>
      <c r="O62" s="37">
        <v>0</v>
      </c>
      <c r="P62" s="37">
        <v>0</v>
      </c>
      <c r="Q62" s="37">
        <v>0</v>
      </c>
      <c r="R62" s="37">
        <v>0</v>
      </c>
      <c r="S62" s="37">
        <v>0</v>
      </c>
      <c r="T62" s="37">
        <v>0</v>
      </c>
      <c r="U62" s="37">
        <v>0</v>
      </c>
      <c r="V62" s="37">
        <v>0</v>
      </c>
      <c r="W62" s="37">
        <v>0</v>
      </c>
      <c r="X62" s="37">
        <v>0</v>
      </c>
      <c r="Y62" s="37">
        <v>0</v>
      </c>
      <c r="Z62" s="37">
        <v>0</v>
      </c>
      <c r="AA62" s="37">
        <v>0</v>
      </c>
      <c r="AB62" s="37">
        <v>0</v>
      </c>
      <c r="AC62" s="37">
        <v>0</v>
      </c>
      <c r="AD62" s="37">
        <v>0</v>
      </c>
      <c r="AE62" s="37">
        <v>0</v>
      </c>
      <c r="AF62" s="37">
        <v>0</v>
      </c>
      <c r="AG62" s="37">
        <v>0</v>
      </c>
      <c r="AH62" s="37">
        <v>0</v>
      </c>
      <c r="AI62" cm="1">
        <f t="array" ref="AI62">SUM(C62:AH62)</f>
        <v>566.5</v>
      </c>
    </row>
    <row r="63" spans="1:35" x14ac:dyDescent="0.25">
      <c r="A63">
        <v>54</v>
      </c>
      <c r="B63" t="s">
        <v>93</v>
      </c>
      <c r="C63" s="37">
        <v>0</v>
      </c>
      <c r="D63" s="37">
        <v>0</v>
      </c>
      <c r="E63" s="37">
        <v>799.2</v>
      </c>
      <c r="F63" s="37">
        <v>1598.4</v>
      </c>
      <c r="G63" s="37">
        <v>0</v>
      </c>
      <c r="H63" s="37">
        <v>1438.56</v>
      </c>
      <c r="I63" s="37">
        <v>1438.56</v>
      </c>
      <c r="J63" s="37">
        <v>1243.2</v>
      </c>
      <c r="K63" s="37">
        <v>0</v>
      </c>
      <c r="L63" s="37">
        <v>0</v>
      </c>
      <c r="M63" s="37">
        <v>0</v>
      </c>
      <c r="N63" s="37">
        <v>0</v>
      </c>
      <c r="O63" s="37">
        <v>0</v>
      </c>
      <c r="P63" s="37">
        <v>0</v>
      </c>
      <c r="Q63" s="37">
        <v>0</v>
      </c>
      <c r="R63" s="37">
        <v>0</v>
      </c>
      <c r="S63" s="37">
        <v>0</v>
      </c>
      <c r="T63" s="37">
        <v>0</v>
      </c>
      <c r="U63" s="37">
        <v>0</v>
      </c>
      <c r="V63" s="37">
        <v>0</v>
      </c>
      <c r="W63" s="37">
        <v>0</v>
      </c>
      <c r="X63" s="37">
        <v>0</v>
      </c>
      <c r="Y63" s="37">
        <v>0</v>
      </c>
      <c r="Z63" s="37">
        <v>0</v>
      </c>
      <c r="AA63" s="37">
        <v>0</v>
      </c>
      <c r="AB63" s="37">
        <v>0</v>
      </c>
      <c r="AC63" s="37">
        <v>0</v>
      </c>
      <c r="AD63" s="37">
        <v>0</v>
      </c>
      <c r="AE63" s="37">
        <v>0</v>
      </c>
      <c r="AF63" s="37">
        <v>0</v>
      </c>
      <c r="AG63" s="37">
        <v>0</v>
      </c>
      <c r="AH63" s="37">
        <v>0</v>
      </c>
      <c r="AI63" cm="1">
        <f t="array" ref="AI63">SUM(C63:AH63)</f>
        <v>6517.92</v>
      </c>
    </row>
    <row r="64" spans="1:35" x14ac:dyDescent="0.25">
      <c r="A64">
        <v>55</v>
      </c>
      <c r="B64" t="s">
        <v>94</v>
      </c>
      <c r="C64" s="37">
        <v>0</v>
      </c>
      <c r="D64" s="37">
        <v>0</v>
      </c>
      <c r="E64" s="37">
        <v>0</v>
      </c>
      <c r="F64" s="37">
        <v>0</v>
      </c>
      <c r="G64" s="37">
        <v>0</v>
      </c>
      <c r="H64" s="37">
        <v>0</v>
      </c>
      <c r="I64" s="37">
        <v>0</v>
      </c>
      <c r="J64" s="37">
        <v>0</v>
      </c>
      <c r="K64" s="37">
        <v>0</v>
      </c>
      <c r="L64" s="37">
        <v>0</v>
      </c>
      <c r="M64" s="37">
        <v>0</v>
      </c>
      <c r="N64" s="37">
        <v>0</v>
      </c>
      <c r="O64" s="37">
        <v>0</v>
      </c>
      <c r="P64" s="37">
        <v>0</v>
      </c>
      <c r="Q64" s="37">
        <v>0</v>
      </c>
      <c r="R64" s="37">
        <v>0</v>
      </c>
      <c r="S64" s="37">
        <v>0</v>
      </c>
      <c r="T64" s="37">
        <v>0</v>
      </c>
      <c r="U64" s="37">
        <v>0</v>
      </c>
      <c r="V64" s="37">
        <v>0</v>
      </c>
      <c r="W64" s="37">
        <v>0</v>
      </c>
      <c r="X64" s="37">
        <v>421</v>
      </c>
      <c r="Y64" s="37">
        <v>0</v>
      </c>
      <c r="Z64" s="37">
        <v>0</v>
      </c>
      <c r="AA64" s="37">
        <v>0</v>
      </c>
      <c r="AB64" s="37">
        <v>0</v>
      </c>
      <c r="AC64" s="37">
        <v>0</v>
      </c>
      <c r="AD64" s="37">
        <v>0</v>
      </c>
      <c r="AE64" s="37">
        <v>0</v>
      </c>
      <c r="AF64" s="37">
        <v>0</v>
      </c>
      <c r="AG64" s="37">
        <v>0</v>
      </c>
      <c r="AH64" s="37">
        <v>0</v>
      </c>
      <c r="AI64" cm="1">
        <f t="array" ref="AI64">SUM(C64:AH64)</f>
        <v>421</v>
      </c>
    </row>
    <row r="65" spans="1:35" x14ac:dyDescent="0.25">
      <c r="A65">
        <v>56</v>
      </c>
      <c r="B65" t="s">
        <v>95</v>
      </c>
      <c r="C65" s="37">
        <v>0</v>
      </c>
      <c r="D65" s="37">
        <v>0</v>
      </c>
      <c r="E65" s="37">
        <v>0</v>
      </c>
      <c r="F65" s="37">
        <v>0</v>
      </c>
      <c r="G65" s="37">
        <v>1398.6</v>
      </c>
      <c r="H65" s="37">
        <v>1258.74</v>
      </c>
      <c r="I65" s="37">
        <v>1258.74</v>
      </c>
      <c r="J65" s="37">
        <v>1087.8</v>
      </c>
      <c r="K65" s="37">
        <v>0</v>
      </c>
      <c r="L65" s="37">
        <v>0</v>
      </c>
      <c r="M65" s="37">
        <v>0</v>
      </c>
      <c r="N65" s="37">
        <v>0</v>
      </c>
      <c r="O65" s="37">
        <v>0</v>
      </c>
      <c r="P65" s="37">
        <v>0</v>
      </c>
      <c r="Q65" s="37">
        <v>0</v>
      </c>
      <c r="R65" s="37">
        <v>0</v>
      </c>
      <c r="S65" s="37">
        <v>0</v>
      </c>
      <c r="T65" s="37">
        <v>0</v>
      </c>
      <c r="U65" s="37">
        <v>0</v>
      </c>
      <c r="V65" s="37">
        <v>0</v>
      </c>
      <c r="W65" s="37">
        <v>0</v>
      </c>
      <c r="X65" s="37">
        <v>0</v>
      </c>
      <c r="Y65" s="37">
        <v>0</v>
      </c>
      <c r="Z65" s="37">
        <v>0</v>
      </c>
      <c r="AA65" s="37">
        <v>0</v>
      </c>
      <c r="AB65" s="37">
        <v>0</v>
      </c>
      <c r="AC65" s="37">
        <v>0</v>
      </c>
      <c r="AD65" s="37">
        <v>0</v>
      </c>
      <c r="AE65" s="37">
        <v>0</v>
      </c>
      <c r="AF65" s="37">
        <v>0</v>
      </c>
      <c r="AG65" s="37">
        <v>0</v>
      </c>
      <c r="AH65" s="37">
        <v>0</v>
      </c>
      <c r="AI65" cm="1">
        <f t="array" ref="AI65">SUM(C65:AH65)</f>
        <v>5003.88</v>
      </c>
    </row>
    <row r="66" spans="1:35" x14ac:dyDescent="0.25">
      <c r="A66">
        <v>57</v>
      </c>
      <c r="B66" t="s">
        <v>96</v>
      </c>
      <c r="C66" s="37">
        <v>0</v>
      </c>
      <c r="D66" s="37">
        <v>0</v>
      </c>
      <c r="E66" s="37">
        <v>0</v>
      </c>
      <c r="F66" s="37">
        <v>0</v>
      </c>
      <c r="G66" s="37">
        <v>0</v>
      </c>
      <c r="H66" s="37">
        <v>0</v>
      </c>
      <c r="I66" s="37">
        <v>0</v>
      </c>
      <c r="J66" s="37">
        <v>1100</v>
      </c>
      <c r="K66" s="37">
        <v>0</v>
      </c>
      <c r="L66" s="37">
        <v>0</v>
      </c>
      <c r="M66" s="37">
        <v>1100</v>
      </c>
      <c r="N66" s="37">
        <v>0</v>
      </c>
      <c r="O66" s="37">
        <v>0</v>
      </c>
      <c r="P66" s="37">
        <v>0</v>
      </c>
      <c r="Q66" s="37">
        <v>0</v>
      </c>
      <c r="R66" s="37">
        <v>0</v>
      </c>
      <c r="S66" s="37">
        <v>0</v>
      </c>
      <c r="T66" s="37">
        <v>0</v>
      </c>
      <c r="U66" s="37">
        <v>0</v>
      </c>
      <c r="V66" s="37">
        <v>0</v>
      </c>
      <c r="W66" s="37">
        <v>0</v>
      </c>
      <c r="X66" s="37">
        <v>0</v>
      </c>
      <c r="Y66" s="37">
        <v>0</v>
      </c>
      <c r="Z66" s="37">
        <v>0</v>
      </c>
      <c r="AA66" s="37">
        <v>0</v>
      </c>
      <c r="AB66" s="37">
        <v>0</v>
      </c>
      <c r="AC66" s="37">
        <v>0</v>
      </c>
      <c r="AD66" s="37">
        <v>0</v>
      </c>
      <c r="AE66" s="37">
        <v>0</v>
      </c>
      <c r="AF66" s="37">
        <v>0</v>
      </c>
      <c r="AG66" s="37">
        <v>0</v>
      </c>
      <c r="AH66" s="37">
        <v>0</v>
      </c>
      <c r="AI66" cm="1">
        <f t="array" ref="AI66">SUM(C66:AH66)</f>
        <v>2200</v>
      </c>
    </row>
    <row r="67" spans="1:35" x14ac:dyDescent="0.25">
      <c r="A67">
        <v>58</v>
      </c>
      <c r="B67" t="s">
        <v>97</v>
      </c>
      <c r="C67" s="37">
        <v>0</v>
      </c>
      <c r="D67" s="37">
        <v>0</v>
      </c>
      <c r="E67" s="37">
        <v>0</v>
      </c>
      <c r="F67" s="37">
        <v>0</v>
      </c>
      <c r="G67" s="37">
        <v>0</v>
      </c>
      <c r="H67" s="37">
        <v>0</v>
      </c>
      <c r="I67" s="37">
        <v>0</v>
      </c>
      <c r="J67" s="37">
        <v>0</v>
      </c>
      <c r="K67" s="37">
        <v>0</v>
      </c>
      <c r="L67" s="37">
        <v>0</v>
      </c>
      <c r="M67" s="37">
        <v>0</v>
      </c>
      <c r="N67" s="37">
        <v>0</v>
      </c>
      <c r="O67" s="37">
        <v>0</v>
      </c>
      <c r="P67" s="37">
        <v>0</v>
      </c>
      <c r="Q67" s="37">
        <v>0</v>
      </c>
      <c r="R67" s="37">
        <v>0</v>
      </c>
      <c r="S67" s="37">
        <v>0</v>
      </c>
      <c r="T67" s="37">
        <v>0</v>
      </c>
      <c r="U67" s="37">
        <v>0</v>
      </c>
      <c r="V67" s="37">
        <v>0</v>
      </c>
      <c r="W67" s="37">
        <v>0</v>
      </c>
      <c r="X67" s="37">
        <v>0</v>
      </c>
      <c r="Y67" s="37">
        <v>0</v>
      </c>
      <c r="Z67" s="37">
        <v>0</v>
      </c>
      <c r="AA67" s="37">
        <v>0</v>
      </c>
      <c r="AB67" s="37">
        <v>0</v>
      </c>
      <c r="AC67" s="37">
        <v>0</v>
      </c>
      <c r="AD67" s="37">
        <v>0</v>
      </c>
      <c r="AE67" s="37">
        <v>0</v>
      </c>
      <c r="AF67" s="37">
        <v>0</v>
      </c>
      <c r="AG67" s="37">
        <v>0</v>
      </c>
      <c r="AH67" s="37">
        <v>0</v>
      </c>
      <c r="AI67" cm="1">
        <f t="array" ref="AI67">SUM(C67:AH67)</f>
        <v>0</v>
      </c>
    </row>
    <row r="68" spans="1:35" x14ac:dyDescent="0.25">
      <c r="A68">
        <v>59</v>
      </c>
      <c r="B68" t="s">
        <v>98</v>
      </c>
      <c r="C68" s="37">
        <v>0</v>
      </c>
      <c r="D68" s="37">
        <v>0</v>
      </c>
      <c r="E68" s="37">
        <v>0</v>
      </c>
      <c r="F68" s="37">
        <v>0</v>
      </c>
      <c r="G68" s="37">
        <v>0</v>
      </c>
      <c r="H68" s="37">
        <v>0</v>
      </c>
      <c r="I68" s="37">
        <v>0</v>
      </c>
      <c r="J68" s="37">
        <v>0</v>
      </c>
      <c r="K68" s="37">
        <v>0</v>
      </c>
      <c r="L68" s="37">
        <v>0</v>
      </c>
      <c r="M68" s="37">
        <v>0</v>
      </c>
      <c r="N68" s="37">
        <v>0</v>
      </c>
      <c r="O68" s="37">
        <v>0</v>
      </c>
      <c r="P68" s="37">
        <v>0</v>
      </c>
      <c r="Q68" s="37">
        <v>0</v>
      </c>
      <c r="R68" s="37">
        <v>0</v>
      </c>
      <c r="S68" s="37">
        <v>0</v>
      </c>
      <c r="T68" s="37">
        <v>0</v>
      </c>
      <c r="U68" s="37">
        <v>0</v>
      </c>
      <c r="V68" s="37">
        <v>0</v>
      </c>
      <c r="W68" s="37">
        <v>0</v>
      </c>
      <c r="X68" s="37">
        <v>0</v>
      </c>
      <c r="Y68" s="37">
        <v>0</v>
      </c>
      <c r="Z68" s="37">
        <v>0</v>
      </c>
      <c r="AA68" s="37">
        <v>0</v>
      </c>
      <c r="AB68" s="37">
        <v>0</v>
      </c>
      <c r="AC68" s="37">
        <v>0</v>
      </c>
      <c r="AD68" s="37">
        <v>0</v>
      </c>
      <c r="AE68" s="37">
        <v>0</v>
      </c>
      <c r="AF68" s="37">
        <v>0</v>
      </c>
      <c r="AG68" s="37">
        <v>0</v>
      </c>
      <c r="AH68" s="37">
        <v>0</v>
      </c>
      <c r="AI68" cm="1">
        <f t="array" ref="AI68">SUM(C68:AH68)</f>
        <v>0</v>
      </c>
    </row>
    <row r="69" spans="1:35" x14ac:dyDescent="0.25">
      <c r="A69">
        <v>60</v>
      </c>
      <c r="B69" t="s">
        <v>99</v>
      </c>
      <c r="C69" s="37">
        <v>0</v>
      </c>
      <c r="D69" s="37">
        <v>0</v>
      </c>
      <c r="E69" s="37">
        <v>0</v>
      </c>
      <c r="F69" s="37">
        <v>0</v>
      </c>
      <c r="G69" s="37">
        <v>0</v>
      </c>
      <c r="H69" s="37">
        <v>0</v>
      </c>
      <c r="I69" s="37">
        <v>0</v>
      </c>
      <c r="J69" s="37">
        <v>0</v>
      </c>
      <c r="K69" s="37">
        <v>0</v>
      </c>
      <c r="L69" s="37">
        <v>0</v>
      </c>
      <c r="M69" s="37">
        <v>0</v>
      </c>
      <c r="N69" s="37">
        <v>0</v>
      </c>
      <c r="O69" s="37">
        <v>0</v>
      </c>
      <c r="P69" s="37">
        <v>0</v>
      </c>
      <c r="Q69" s="37">
        <v>0</v>
      </c>
      <c r="R69" s="37">
        <v>0</v>
      </c>
      <c r="S69" s="37">
        <v>0</v>
      </c>
      <c r="T69" s="37">
        <v>0</v>
      </c>
      <c r="U69" s="37">
        <v>0</v>
      </c>
      <c r="V69" s="37">
        <v>0</v>
      </c>
      <c r="W69" s="37">
        <v>0</v>
      </c>
      <c r="X69" s="37">
        <v>0</v>
      </c>
      <c r="Y69" s="37">
        <v>0</v>
      </c>
      <c r="Z69" s="37">
        <v>0</v>
      </c>
      <c r="AA69" s="37">
        <v>0</v>
      </c>
      <c r="AB69" s="37">
        <v>0</v>
      </c>
      <c r="AC69" s="37">
        <v>0</v>
      </c>
      <c r="AD69" s="37">
        <v>0</v>
      </c>
      <c r="AE69" s="37">
        <v>0</v>
      </c>
      <c r="AF69" s="37">
        <v>0</v>
      </c>
      <c r="AG69" s="37">
        <v>0</v>
      </c>
      <c r="AH69" s="37">
        <v>0</v>
      </c>
      <c r="AI69" cm="1">
        <f t="array" ref="AI69">SUM(C69:AH69)</f>
        <v>0</v>
      </c>
    </row>
    <row r="70" spans="1:35" x14ac:dyDescent="0.25">
      <c r="A70">
        <v>61</v>
      </c>
      <c r="B70" t="s">
        <v>100</v>
      </c>
      <c r="C70" s="37">
        <v>0</v>
      </c>
      <c r="D70" s="37">
        <v>0</v>
      </c>
      <c r="E70" s="37">
        <v>0</v>
      </c>
      <c r="F70" s="37">
        <v>0</v>
      </c>
      <c r="G70" s="37">
        <v>0</v>
      </c>
      <c r="H70" s="37">
        <v>0</v>
      </c>
      <c r="I70" s="37">
        <v>0</v>
      </c>
      <c r="J70" s="37">
        <v>0</v>
      </c>
      <c r="K70" s="37">
        <v>0</v>
      </c>
      <c r="L70" s="37">
        <v>0</v>
      </c>
      <c r="M70" s="37">
        <v>0</v>
      </c>
      <c r="N70" s="37">
        <v>0</v>
      </c>
      <c r="O70" s="37">
        <v>0</v>
      </c>
      <c r="P70" s="37">
        <v>0</v>
      </c>
      <c r="Q70" s="37">
        <v>0</v>
      </c>
      <c r="R70" s="37">
        <v>0</v>
      </c>
      <c r="S70" s="37">
        <v>0</v>
      </c>
      <c r="T70" s="37">
        <v>0</v>
      </c>
      <c r="U70" s="37">
        <v>0</v>
      </c>
      <c r="V70" s="37">
        <v>0</v>
      </c>
      <c r="W70" s="37">
        <v>0</v>
      </c>
      <c r="X70" s="37">
        <v>0</v>
      </c>
      <c r="Y70" s="37">
        <v>0</v>
      </c>
      <c r="Z70" s="37">
        <v>0</v>
      </c>
      <c r="AA70" s="37">
        <v>0</v>
      </c>
      <c r="AB70" s="37">
        <v>0</v>
      </c>
      <c r="AC70" s="37">
        <v>0</v>
      </c>
      <c r="AD70" s="37">
        <v>0</v>
      </c>
      <c r="AE70" s="37">
        <v>0</v>
      </c>
      <c r="AF70" s="37">
        <v>0</v>
      </c>
      <c r="AG70" s="37">
        <v>0</v>
      </c>
      <c r="AH70" s="37">
        <v>0</v>
      </c>
      <c r="AI70" cm="1">
        <f t="array" ref="AI70">SUM(C70:AH70)</f>
        <v>0</v>
      </c>
    </row>
    <row r="71" spans="1:35" x14ac:dyDescent="0.25">
      <c r="A71">
        <v>62</v>
      </c>
      <c r="B71" t="s">
        <v>101</v>
      </c>
      <c r="C71" s="37">
        <v>0</v>
      </c>
      <c r="D71" s="37">
        <v>0</v>
      </c>
      <c r="E71" s="37">
        <v>0</v>
      </c>
      <c r="F71" s="37">
        <v>0</v>
      </c>
      <c r="G71" s="37">
        <v>0</v>
      </c>
      <c r="H71" s="37">
        <v>0</v>
      </c>
      <c r="I71" s="37">
        <v>0</v>
      </c>
      <c r="J71" s="37">
        <v>0</v>
      </c>
      <c r="K71" s="37">
        <v>0</v>
      </c>
      <c r="L71" s="37">
        <v>0</v>
      </c>
      <c r="M71" s="37">
        <v>0</v>
      </c>
      <c r="N71" s="37">
        <v>0</v>
      </c>
      <c r="O71" s="37">
        <v>0</v>
      </c>
      <c r="P71" s="37">
        <v>0</v>
      </c>
      <c r="Q71" s="37">
        <v>0</v>
      </c>
      <c r="R71" s="37">
        <v>0</v>
      </c>
      <c r="S71" s="37">
        <v>0</v>
      </c>
      <c r="T71" s="37">
        <v>110.15</v>
      </c>
      <c r="U71" s="37">
        <v>0</v>
      </c>
      <c r="V71" s="37">
        <v>0</v>
      </c>
      <c r="W71" s="37">
        <v>0</v>
      </c>
      <c r="X71" s="37">
        <v>0</v>
      </c>
      <c r="Y71" s="37">
        <v>0</v>
      </c>
      <c r="Z71" s="37">
        <v>0</v>
      </c>
      <c r="AA71" s="37">
        <v>0</v>
      </c>
      <c r="AB71" s="37">
        <v>0</v>
      </c>
      <c r="AC71" s="37">
        <v>0</v>
      </c>
      <c r="AD71" s="37">
        <v>0</v>
      </c>
      <c r="AE71" s="37">
        <v>0</v>
      </c>
      <c r="AF71" s="37">
        <v>0</v>
      </c>
      <c r="AG71" s="37">
        <v>0</v>
      </c>
      <c r="AH71" s="37">
        <v>0</v>
      </c>
      <c r="AI71" cm="1">
        <f t="array" ref="AI71">SUM(C71:AH71)</f>
        <v>110.15</v>
      </c>
    </row>
    <row r="72" spans="1:35" x14ac:dyDescent="0.25">
      <c r="A72">
        <v>63</v>
      </c>
      <c r="B72" t="s">
        <v>102</v>
      </c>
      <c r="C72" s="37">
        <v>0</v>
      </c>
      <c r="D72" s="37">
        <v>0</v>
      </c>
      <c r="E72" s="37">
        <v>0</v>
      </c>
      <c r="F72" s="37">
        <v>0</v>
      </c>
      <c r="G72" s="37">
        <v>0</v>
      </c>
      <c r="H72" s="37">
        <v>0</v>
      </c>
      <c r="I72" s="37">
        <v>0</v>
      </c>
      <c r="J72" s="37">
        <v>0</v>
      </c>
      <c r="K72" s="37">
        <v>0</v>
      </c>
      <c r="L72" s="37">
        <v>0</v>
      </c>
      <c r="M72" s="37">
        <v>0</v>
      </c>
      <c r="N72" s="37">
        <v>0</v>
      </c>
      <c r="O72" s="37">
        <v>0</v>
      </c>
      <c r="P72" s="37">
        <v>0</v>
      </c>
      <c r="Q72" s="37">
        <v>0</v>
      </c>
      <c r="R72" s="37">
        <v>0</v>
      </c>
      <c r="S72" s="37">
        <v>0</v>
      </c>
      <c r="T72" s="37">
        <v>116.71</v>
      </c>
      <c r="U72" s="37">
        <v>0</v>
      </c>
      <c r="V72" s="37">
        <v>0</v>
      </c>
      <c r="W72" s="37">
        <v>0</v>
      </c>
      <c r="X72" s="37">
        <v>0</v>
      </c>
      <c r="Y72" s="37">
        <v>0</v>
      </c>
      <c r="Z72" s="37">
        <v>0</v>
      </c>
      <c r="AA72" s="37">
        <v>0</v>
      </c>
      <c r="AB72" s="37">
        <v>0</v>
      </c>
      <c r="AC72" s="37">
        <v>0</v>
      </c>
      <c r="AD72" s="37">
        <v>0</v>
      </c>
      <c r="AE72" s="37">
        <v>0</v>
      </c>
      <c r="AF72" s="37">
        <v>0</v>
      </c>
      <c r="AG72" s="37">
        <v>0</v>
      </c>
      <c r="AH72" s="37">
        <v>0</v>
      </c>
      <c r="AI72" cm="1">
        <f t="array" ref="AI72">SUM(C72:AH72)</f>
        <v>116.71</v>
      </c>
    </row>
    <row r="73" spans="1:35" x14ac:dyDescent="0.25">
      <c r="A73">
        <v>64</v>
      </c>
      <c r="B73" t="s">
        <v>103</v>
      </c>
      <c r="C73" s="37">
        <v>97.59</v>
      </c>
      <c r="D73" s="37">
        <v>0</v>
      </c>
      <c r="E73" s="37">
        <v>0</v>
      </c>
      <c r="F73" s="37">
        <v>0</v>
      </c>
      <c r="G73" s="37">
        <v>0</v>
      </c>
      <c r="H73" s="37">
        <v>0</v>
      </c>
      <c r="I73" s="37">
        <v>0</v>
      </c>
      <c r="J73" s="37">
        <v>97.59</v>
      </c>
      <c r="K73" s="37">
        <v>0</v>
      </c>
      <c r="L73" s="37">
        <v>0</v>
      </c>
      <c r="M73" s="37">
        <v>0</v>
      </c>
      <c r="N73" s="37">
        <v>0</v>
      </c>
      <c r="O73" s="37">
        <v>0</v>
      </c>
      <c r="P73" s="37">
        <v>0</v>
      </c>
      <c r="Q73" s="37">
        <v>0</v>
      </c>
      <c r="R73" s="37">
        <v>0</v>
      </c>
      <c r="S73" s="37">
        <v>0</v>
      </c>
      <c r="T73" s="37">
        <v>0</v>
      </c>
      <c r="U73" s="37">
        <v>0</v>
      </c>
      <c r="V73" s="37">
        <v>98.28</v>
      </c>
      <c r="W73" s="37">
        <v>0</v>
      </c>
      <c r="X73" s="37">
        <v>0</v>
      </c>
      <c r="Y73" s="37">
        <v>0</v>
      </c>
      <c r="Z73" s="37">
        <v>0</v>
      </c>
      <c r="AA73" s="37">
        <v>0</v>
      </c>
      <c r="AB73" s="37">
        <v>0</v>
      </c>
      <c r="AC73" s="37">
        <v>0</v>
      </c>
      <c r="AD73" s="37">
        <v>0</v>
      </c>
      <c r="AE73" s="37">
        <v>0</v>
      </c>
      <c r="AF73" s="37">
        <v>0</v>
      </c>
      <c r="AG73" s="37">
        <v>0</v>
      </c>
      <c r="AH73" s="37">
        <v>99.75</v>
      </c>
      <c r="AI73" cm="1">
        <f t="array" ref="AI73">SUM(C73:AH73)</f>
        <v>393.21000000000004</v>
      </c>
    </row>
    <row r="74" spans="1:35" x14ac:dyDescent="0.25">
      <c r="A74">
        <v>65</v>
      </c>
      <c r="B74" t="s">
        <v>104</v>
      </c>
      <c r="C74" s="37">
        <v>0</v>
      </c>
      <c r="D74" s="37">
        <v>0</v>
      </c>
      <c r="E74" s="37">
        <v>0</v>
      </c>
      <c r="F74" s="37">
        <v>0</v>
      </c>
      <c r="G74" s="37">
        <v>0</v>
      </c>
      <c r="H74" s="37">
        <v>0</v>
      </c>
      <c r="I74" s="37">
        <v>0</v>
      </c>
      <c r="J74" s="37">
        <v>0</v>
      </c>
      <c r="K74" s="37">
        <v>0</v>
      </c>
      <c r="L74" s="37">
        <v>0</v>
      </c>
      <c r="M74" s="37">
        <v>0</v>
      </c>
      <c r="N74" s="37">
        <v>0</v>
      </c>
      <c r="O74" s="37">
        <v>0</v>
      </c>
      <c r="P74" s="37">
        <v>0</v>
      </c>
      <c r="Q74" s="37">
        <v>0</v>
      </c>
      <c r="R74" s="37">
        <v>0</v>
      </c>
      <c r="S74" s="37">
        <v>0</v>
      </c>
      <c r="T74" s="37">
        <v>0</v>
      </c>
      <c r="U74" s="37">
        <v>0</v>
      </c>
      <c r="V74" s="37">
        <v>0</v>
      </c>
      <c r="W74" s="37">
        <v>0</v>
      </c>
      <c r="X74" s="37">
        <v>0</v>
      </c>
      <c r="Y74" s="37">
        <v>0</v>
      </c>
      <c r="Z74" s="37">
        <v>0</v>
      </c>
      <c r="AA74" s="37">
        <v>0</v>
      </c>
      <c r="AB74" s="37">
        <v>0</v>
      </c>
      <c r="AC74" s="37">
        <v>0</v>
      </c>
      <c r="AD74" s="37">
        <v>0</v>
      </c>
      <c r="AE74" s="37">
        <v>0</v>
      </c>
      <c r="AF74" s="37">
        <v>0</v>
      </c>
      <c r="AG74" s="37">
        <v>0</v>
      </c>
      <c r="AH74" s="37">
        <v>0</v>
      </c>
      <c r="AI74" cm="1">
        <f t="array" ref="AI74">SUM(C74:AH74)</f>
        <v>0</v>
      </c>
    </row>
    <row r="75" spans="1:35" x14ac:dyDescent="0.25">
      <c r="A75">
        <v>66</v>
      </c>
      <c r="B75" t="s">
        <v>105</v>
      </c>
      <c r="C75" s="37">
        <v>0</v>
      </c>
      <c r="D75" s="37">
        <v>0</v>
      </c>
      <c r="E75" s="37">
        <v>0</v>
      </c>
      <c r="F75" s="37">
        <v>0</v>
      </c>
      <c r="G75" s="37">
        <v>0</v>
      </c>
      <c r="H75" s="37">
        <v>0</v>
      </c>
      <c r="I75" s="37">
        <v>0</v>
      </c>
      <c r="J75" s="37">
        <v>0</v>
      </c>
      <c r="K75" s="37">
        <v>0</v>
      </c>
      <c r="L75" s="37">
        <v>0</v>
      </c>
      <c r="M75" s="37">
        <v>0</v>
      </c>
      <c r="N75" s="37">
        <v>0</v>
      </c>
      <c r="O75" s="37">
        <v>0</v>
      </c>
      <c r="P75" s="37">
        <v>0</v>
      </c>
      <c r="Q75" s="37">
        <v>0</v>
      </c>
      <c r="R75" s="37">
        <v>0</v>
      </c>
      <c r="S75" s="37">
        <v>0</v>
      </c>
      <c r="T75" s="37">
        <v>0</v>
      </c>
      <c r="U75" s="37">
        <v>0</v>
      </c>
      <c r="V75" s="37">
        <v>0</v>
      </c>
      <c r="W75" s="37">
        <v>0</v>
      </c>
      <c r="X75" s="37">
        <v>0</v>
      </c>
      <c r="Y75" s="37">
        <v>0</v>
      </c>
      <c r="Z75" s="37">
        <v>0</v>
      </c>
      <c r="AA75" s="37">
        <v>0</v>
      </c>
      <c r="AB75" s="37">
        <v>0</v>
      </c>
      <c r="AC75" s="37">
        <v>0</v>
      </c>
      <c r="AD75" s="37">
        <v>0</v>
      </c>
      <c r="AE75" s="37">
        <v>0</v>
      </c>
      <c r="AF75" s="37">
        <v>0</v>
      </c>
      <c r="AG75" s="37">
        <v>0</v>
      </c>
      <c r="AH75" s="37">
        <v>0</v>
      </c>
      <c r="AI75" cm="1">
        <f t="array" ref="AI75">SUM(C75:AH75)</f>
        <v>0</v>
      </c>
    </row>
    <row r="76" spans="1:35" x14ac:dyDescent="0.25">
      <c r="A76">
        <v>67</v>
      </c>
      <c r="B76" t="s">
        <v>106</v>
      </c>
      <c r="C76" s="37">
        <v>0</v>
      </c>
      <c r="D76" s="37">
        <v>0</v>
      </c>
      <c r="E76" s="37">
        <v>0</v>
      </c>
      <c r="F76" s="37">
        <v>0</v>
      </c>
      <c r="G76" s="37">
        <v>0</v>
      </c>
      <c r="H76" s="37">
        <v>0</v>
      </c>
      <c r="I76" s="37">
        <v>0</v>
      </c>
      <c r="J76" s="37">
        <v>0</v>
      </c>
      <c r="K76" s="37">
        <v>0</v>
      </c>
      <c r="L76" s="37">
        <v>0</v>
      </c>
      <c r="M76" s="37">
        <v>0</v>
      </c>
      <c r="N76" s="37">
        <v>0</v>
      </c>
      <c r="O76" s="37">
        <v>0</v>
      </c>
      <c r="P76" s="37">
        <v>0</v>
      </c>
      <c r="Q76" s="37">
        <v>0</v>
      </c>
      <c r="R76" s="37">
        <v>0</v>
      </c>
      <c r="S76" s="37">
        <v>0</v>
      </c>
      <c r="T76" s="37">
        <v>0</v>
      </c>
      <c r="U76" s="37">
        <v>0</v>
      </c>
      <c r="V76" s="37">
        <v>0</v>
      </c>
      <c r="W76" s="37">
        <v>0</v>
      </c>
      <c r="X76" s="37">
        <v>0</v>
      </c>
      <c r="Y76" s="37">
        <v>0</v>
      </c>
      <c r="Z76" s="37">
        <v>0</v>
      </c>
      <c r="AA76" s="37">
        <v>0</v>
      </c>
      <c r="AB76" s="37">
        <v>0</v>
      </c>
      <c r="AC76" s="37">
        <v>0</v>
      </c>
      <c r="AD76" s="37">
        <v>0</v>
      </c>
      <c r="AE76" s="37">
        <v>0</v>
      </c>
      <c r="AF76" s="37">
        <v>0</v>
      </c>
      <c r="AG76" s="37">
        <v>0</v>
      </c>
      <c r="AH76" s="37">
        <v>0</v>
      </c>
      <c r="AI76" cm="1">
        <f t="array" ref="AI76">SUM(C76:AH76)</f>
        <v>0</v>
      </c>
    </row>
    <row r="77" spans="1:35" x14ac:dyDescent="0.25">
      <c r="A77">
        <v>68</v>
      </c>
      <c r="B77" t="s">
        <v>107</v>
      </c>
      <c r="C77" s="37">
        <v>0</v>
      </c>
      <c r="D77" s="37">
        <v>0</v>
      </c>
      <c r="E77" s="37">
        <v>0</v>
      </c>
      <c r="F77" s="37">
        <v>0</v>
      </c>
      <c r="G77" s="37">
        <v>0</v>
      </c>
      <c r="H77" s="37">
        <v>0</v>
      </c>
      <c r="I77" s="37">
        <v>0</v>
      </c>
      <c r="J77" s="37">
        <v>0</v>
      </c>
      <c r="K77" s="37">
        <v>0</v>
      </c>
      <c r="L77" s="37">
        <v>0</v>
      </c>
      <c r="M77" s="37">
        <v>0</v>
      </c>
      <c r="N77" s="37">
        <v>0</v>
      </c>
      <c r="O77" s="37">
        <v>1824.5</v>
      </c>
      <c r="P77" s="37">
        <v>0</v>
      </c>
      <c r="Q77" s="37">
        <v>0</v>
      </c>
      <c r="R77" s="37">
        <v>0</v>
      </c>
      <c r="S77" s="37">
        <v>0</v>
      </c>
      <c r="T77" s="37">
        <v>0</v>
      </c>
      <c r="U77" s="37">
        <v>0</v>
      </c>
      <c r="V77" s="37">
        <v>0</v>
      </c>
      <c r="W77" s="37">
        <v>0</v>
      </c>
      <c r="X77" s="37">
        <v>0</v>
      </c>
      <c r="Y77" s="37">
        <v>0</v>
      </c>
      <c r="Z77" s="37">
        <v>0</v>
      </c>
      <c r="AA77" s="37">
        <v>0</v>
      </c>
      <c r="AB77" s="37">
        <v>0</v>
      </c>
      <c r="AC77" s="37">
        <v>0</v>
      </c>
      <c r="AD77" s="37">
        <v>0</v>
      </c>
      <c r="AE77" s="37">
        <v>0</v>
      </c>
      <c r="AF77" s="37">
        <v>0</v>
      </c>
      <c r="AG77" s="37">
        <v>0</v>
      </c>
      <c r="AH77" s="37">
        <v>0</v>
      </c>
      <c r="AI77" cm="1">
        <f t="array" ref="AI77">SUM(C77:AH77)</f>
        <v>1824.5</v>
      </c>
    </row>
    <row r="78" spans="1:35" x14ac:dyDescent="0.25">
      <c r="A78">
        <v>69</v>
      </c>
      <c r="B78" t="s">
        <v>108</v>
      </c>
      <c r="C78" s="37">
        <v>313.08</v>
      </c>
      <c r="D78" s="37">
        <v>0</v>
      </c>
      <c r="E78" s="37">
        <v>0</v>
      </c>
      <c r="F78" s="37">
        <v>0</v>
      </c>
      <c r="G78" s="37">
        <v>0</v>
      </c>
      <c r="H78" s="37">
        <v>0</v>
      </c>
      <c r="I78" s="37">
        <v>0</v>
      </c>
      <c r="J78" s="37">
        <v>156.54</v>
      </c>
      <c r="K78" s="37">
        <v>0</v>
      </c>
      <c r="L78" s="37">
        <v>0</v>
      </c>
      <c r="M78" s="37">
        <v>0</v>
      </c>
      <c r="N78" s="37">
        <v>0</v>
      </c>
      <c r="O78" s="37">
        <v>315.27999999999997</v>
      </c>
      <c r="P78" s="37">
        <v>0</v>
      </c>
      <c r="Q78" s="37">
        <v>0</v>
      </c>
      <c r="R78" s="37">
        <v>0</v>
      </c>
      <c r="S78" s="37">
        <v>0</v>
      </c>
      <c r="T78" s="37">
        <v>315.27999999999997</v>
      </c>
      <c r="U78" s="37">
        <v>0</v>
      </c>
      <c r="V78" s="37">
        <v>157.63999999999999</v>
      </c>
      <c r="W78" s="37">
        <v>0</v>
      </c>
      <c r="X78" s="37">
        <v>0</v>
      </c>
      <c r="Y78" s="37">
        <v>157.63999999999999</v>
      </c>
      <c r="Z78" s="37">
        <v>0</v>
      </c>
      <c r="AA78" s="37">
        <v>0</v>
      </c>
      <c r="AB78" s="37">
        <v>160</v>
      </c>
      <c r="AC78" s="37">
        <v>0</v>
      </c>
      <c r="AD78" s="37">
        <v>0</v>
      </c>
      <c r="AE78" s="37">
        <v>0</v>
      </c>
      <c r="AF78" s="37">
        <v>320</v>
      </c>
      <c r="AG78" s="37">
        <v>0</v>
      </c>
      <c r="AH78" s="37">
        <v>0</v>
      </c>
      <c r="AI78" cm="1">
        <f t="array" ref="AI78">SUM(C78:AH78)</f>
        <v>1895.4599999999996</v>
      </c>
    </row>
    <row r="79" spans="1:35" x14ac:dyDescent="0.25">
      <c r="A79">
        <v>70</v>
      </c>
      <c r="B79" t="s">
        <v>109</v>
      </c>
      <c r="C79" s="37">
        <v>0</v>
      </c>
      <c r="D79" s="37">
        <v>0</v>
      </c>
      <c r="E79" s="37">
        <v>0</v>
      </c>
      <c r="F79" s="37">
        <v>0</v>
      </c>
      <c r="G79" s="37">
        <v>0</v>
      </c>
      <c r="H79" s="37">
        <v>0</v>
      </c>
      <c r="I79" s="37">
        <v>0</v>
      </c>
      <c r="J79" s="37">
        <v>0</v>
      </c>
      <c r="K79" s="37">
        <v>0</v>
      </c>
      <c r="L79" s="37">
        <v>0</v>
      </c>
      <c r="M79" s="37">
        <v>0</v>
      </c>
      <c r="N79" s="37">
        <v>0</v>
      </c>
      <c r="O79" s="37">
        <v>0</v>
      </c>
      <c r="P79" s="37">
        <v>0</v>
      </c>
      <c r="Q79" s="37">
        <v>0</v>
      </c>
      <c r="R79" s="37">
        <v>0</v>
      </c>
      <c r="S79" s="37">
        <v>227.9</v>
      </c>
      <c r="T79" s="37">
        <v>0</v>
      </c>
      <c r="U79" s="37">
        <v>0</v>
      </c>
      <c r="V79" s="37">
        <v>216</v>
      </c>
      <c r="W79" s="37">
        <v>0</v>
      </c>
      <c r="X79" s="37">
        <v>216</v>
      </c>
      <c r="Y79" s="37">
        <v>0</v>
      </c>
      <c r="Z79" s="37">
        <v>0</v>
      </c>
      <c r="AA79" s="37">
        <v>0</v>
      </c>
      <c r="AB79" s="37">
        <v>216</v>
      </c>
      <c r="AC79" s="37">
        <v>0</v>
      </c>
      <c r="AD79" s="37">
        <v>0</v>
      </c>
      <c r="AE79" s="37">
        <v>0</v>
      </c>
      <c r="AF79" s="37">
        <v>0</v>
      </c>
      <c r="AG79" s="37">
        <v>0</v>
      </c>
      <c r="AH79" s="37">
        <v>209.7</v>
      </c>
      <c r="AI79" cm="1">
        <f t="array" ref="AI79">SUM(C79:AH79)</f>
        <v>1085.5999999999999</v>
      </c>
    </row>
    <row r="80" spans="1:35" x14ac:dyDescent="0.25">
      <c r="A80">
        <v>71</v>
      </c>
      <c r="B80" t="s">
        <v>110</v>
      </c>
      <c r="C80" s="37">
        <v>0</v>
      </c>
      <c r="D80" s="37">
        <v>0</v>
      </c>
      <c r="E80" s="37">
        <v>0</v>
      </c>
      <c r="F80" s="37">
        <v>0</v>
      </c>
      <c r="G80" s="37">
        <v>0</v>
      </c>
      <c r="H80" s="37">
        <v>0</v>
      </c>
      <c r="I80" s="37">
        <v>0</v>
      </c>
      <c r="J80" s="37">
        <v>0</v>
      </c>
      <c r="K80" s="37">
        <v>0</v>
      </c>
      <c r="L80" s="37">
        <v>0</v>
      </c>
      <c r="M80" s="37">
        <v>0</v>
      </c>
      <c r="N80" s="37">
        <v>0</v>
      </c>
      <c r="O80" s="37">
        <v>0</v>
      </c>
      <c r="P80" s="37">
        <v>0</v>
      </c>
      <c r="Q80" s="37">
        <v>0</v>
      </c>
      <c r="R80" s="37">
        <v>0</v>
      </c>
      <c r="S80" s="37">
        <v>0</v>
      </c>
      <c r="T80" s="37">
        <v>0</v>
      </c>
      <c r="U80" s="37">
        <v>0</v>
      </c>
      <c r="V80" s="37">
        <v>0</v>
      </c>
      <c r="W80" s="37">
        <v>0</v>
      </c>
      <c r="X80" s="37">
        <v>0</v>
      </c>
      <c r="Y80" s="37">
        <v>0</v>
      </c>
      <c r="Z80" s="37">
        <v>0</v>
      </c>
      <c r="AA80" s="37">
        <v>0</v>
      </c>
      <c r="AB80" s="37">
        <v>0</v>
      </c>
      <c r="AC80" s="37">
        <v>0</v>
      </c>
      <c r="AD80" s="37">
        <v>432</v>
      </c>
      <c r="AE80" s="37">
        <v>0</v>
      </c>
      <c r="AF80" s="37">
        <v>0</v>
      </c>
      <c r="AG80" s="37">
        <v>0</v>
      </c>
      <c r="AH80" s="37">
        <v>0</v>
      </c>
      <c r="AI80" cm="1">
        <f t="array" ref="AI80">SUM(C80:AH80)</f>
        <v>432</v>
      </c>
    </row>
    <row r="81" spans="1:35" x14ac:dyDescent="0.25">
      <c r="A81">
        <v>72</v>
      </c>
      <c r="B81" t="s">
        <v>111</v>
      </c>
      <c r="C81" s="37">
        <v>0</v>
      </c>
      <c r="D81" s="37">
        <v>0</v>
      </c>
      <c r="E81" s="37">
        <v>1165.5</v>
      </c>
      <c r="F81" s="37">
        <v>0</v>
      </c>
      <c r="G81" s="37">
        <v>720.9</v>
      </c>
      <c r="H81" s="37">
        <v>0</v>
      </c>
      <c r="I81" s="37">
        <v>0</v>
      </c>
      <c r="J81" s="37">
        <v>0</v>
      </c>
      <c r="K81" s="37">
        <v>0</v>
      </c>
      <c r="L81" s="37">
        <v>0</v>
      </c>
      <c r="M81" s="37">
        <v>0</v>
      </c>
      <c r="N81" s="37">
        <v>0</v>
      </c>
      <c r="O81" s="37">
        <v>1631.7</v>
      </c>
      <c r="P81" s="37">
        <v>0</v>
      </c>
      <c r="Q81" s="37">
        <v>0</v>
      </c>
      <c r="R81" s="37">
        <v>0</v>
      </c>
      <c r="S81" s="37">
        <v>0</v>
      </c>
      <c r="T81" s="37">
        <v>0</v>
      </c>
      <c r="U81" s="37">
        <v>0</v>
      </c>
      <c r="V81" s="37">
        <v>0</v>
      </c>
      <c r="W81" s="37">
        <v>450</v>
      </c>
      <c r="X81" s="37">
        <v>0</v>
      </c>
      <c r="Y81" s="37">
        <v>450</v>
      </c>
      <c r="Z81" s="37">
        <v>450</v>
      </c>
      <c r="AA81" s="37">
        <v>0</v>
      </c>
      <c r="AB81" s="37">
        <v>0</v>
      </c>
      <c r="AC81" s="37">
        <v>0</v>
      </c>
      <c r="AD81" s="37">
        <v>874.8</v>
      </c>
      <c r="AE81" s="37">
        <v>0</v>
      </c>
      <c r="AF81" s="37">
        <v>437.4</v>
      </c>
      <c r="AG81" s="37">
        <v>437.4</v>
      </c>
      <c r="AH81" s="37">
        <v>0</v>
      </c>
      <c r="AI81" cm="1">
        <f t="array" ref="AI81">SUM(C81:AH81)</f>
        <v>6617.7</v>
      </c>
    </row>
    <row r="82" spans="1:35" x14ac:dyDescent="0.25">
      <c r="A82">
        <v>73</v>
      </c>
      <c r="B82" t="s">
        <v>112</v>
      </c>
      <c r="C82" s="37">
        <v>146.75</v>
      </c>
      <c r="D82" s="37">
        <v>293.5</v>
      </c>
      <c r="E82" s="37">
        <v>146.75</v>
      </c>
      <c r="F82" s="37">
        <v>0</v>
      </c>
      <c r="G82" s="37">
        <v>0</v>
      </c>
      <c r="H82" s="37">
        <v>0</v>
      </c>
      <c r="I82" s="37">
        <v>293.5</v>
      </c>
      <c r="J82" s="37">
        <v>146.75</v>
      </c>
      <c r="K82" s="37">
        <v>0</v>
      </c>
      <c r="L82" s="37">
        <v>440.25</v>
      </c>
      <c r="M82" s="37">
        <v>0</v>
      </c>
      <c r="N82" s="37">
        <v>293.5</v>
      </c>
      <c r="O82" s="37">
        <v>0</v>
      </c>
      <c r="P82" s="37">
        <v>0</v>
      </c>
      <c r="Q82" s="37">
        <v>295.56</v>
      </c>
      <c r="R82" s="37">
        <v>0</v>
      </c>
      <c r="S82" s="37">
        <v>0</v>
      </c>
      <c r="T82" s="37">
        <v>0</v>
      </c>
      <c r="U82" s="37">
        <v>0</v>
      </c>
      <c r="V82" s="37">
        <v>0</v>
      </c>
      <c r="W82" s="37">
        <v>0</v>
      </c>
      <c r="X82" s="37">
        <v>0</v>
      </c>
      <c r="Y82" s="37">
        <v>295.56</v>
      </c>
      <c r="Z82" s="37">
        <v>295.56</v>
      </c>
      <c r="AA82" s="37">
        <v>0</v>
      </c>
      <c r="AB82" s="37">
        <v>0</v>
      </c>
      <c r="AC82" s="37">
        <v>0</v>
      </c>
      <c r="AD82" s="37">
        <v>450</v>
      </c>
      <c r="AE82" s="37">
        <v>0</v>
      </c>
      <c r="AF82" s="37">
        <v>0</v>
      </c>
      <c r="AG82" s="37">
        <v>0</v>
      </c>
      <c r="AH82" s="37">
        <v>0</v>
      </c>
      <c r="AI82" cm="1">
        <f t="array" ref="AI82">SUM(C82:AH82)</f>
        <v>3097.68</v>
      </c>
    </row>
    <row r="83" spans="1:35" x14ac:dyDescent="0.25">
      <c r="A83">
        <v>74</v>
      </c>
      <c r="B83" t="s">
        <v>113</v>
      </c>
      <c r="C83" s="37">
        <v>0</v>
      </c>
      <c r="D83" s="37">
        <v>0</v>
      </c>
      <c r="E83" s="37">
        <v>0</v>
      </c>
      <c r="F83" s="37">
        <v>0</v>
      </c>
      <c r="G83" s="37">
        <v>0</v>
      </c>
      <c r="H83" s="37">
        <v>0</v>
      </c>
      <c r="I83" s="37">
        <v>0</v>
      </c>
      <c r="J83" s="37">
        <v>0</v>
      </c>
      <c r="K83" s="37">
        <v>0</v>
      </c>
      <c r="L83" s="37">
        <v>0</v>
      </c>
      <c r="M83" s="37">
        <v>0</v>
      </c>
      <c r="N83" s="37">
        <v>0</v>
      </c>
      <c r="O83" s="37">
        <v>0</v>
      </c>
      <c r="P83" s="37">
        <v>0</v>
      </c>
      <c r="Q83" s="37">
        <v>0</v>
      </c>
      <c r="R83" s="37">
        <v>0</v>
      </c>
      <c r="S83" s="37">
        <v>0</v>
      </c>
      <c r="T83" s="37">
        <v>0</v>
      </c>
      <c r="U83" s="37">
        <v>0</v>
      </c>
      <c r="V83" s="37">
        <v>0</v>
      </c>
      <c r="W83" s="37">
        <v>0</v>
      </c>
      <c r="X83" s="37">
        <v>0</v>
      </c>
      <c r="Y83" s="37">
        <v>0</v>
      </c>
      <c r="Z83" s="37">
        <v>0</v>
      </c>
      <c r="AA83" s="37">
        <v>0</v>
      </c>
      <c r="AB83" s="37">
        <v>0</v>
      </c>
      <c r="AC83" s="37">
        <v>0</v>
      </c>
      <c r="AD83" s="37">
        <v>0</v>
      </c>
      <c r="AE83" s="37">
        <v>0</v>
      </c>
      <c r="AF83" s="37">
        <v>0</v>
      </c>
      <c r="AG83" s="37">
        <v>0</v>
      </c>
      <c r="AH83" s="37">
        <v>0</v>
      </c>
      <c r="AI83" cm="1">
        <f t="array" ref="AI83">SUM(C83:AH83)</f>
        <v>0</v>
      </c>
    </row>
    <row r="84" spans="1:35" x14ac:dyDescent="0.25">
      <c r="A84">
        <v>75</v>
      </c>
      <c r="B84" t="s">
        <v>114</v>
      </c>
      <c r="C84" s="37">
        <v>0</v>
      </c>
      <c r="D84" s="37">
        <v>0</v>
      </c>
      <c r="E84" s="37">
        <v>704.4</v>
      </c>
      <c r="F84" s="37">
        <v>0</v>
      </c>
      <c r="G84" s="37">
        <v>0</v>
      </c>
      <c r="H84" s="37">
        <v>528.29999999999995</v>
      </c>
      <c r="I84" s="37">
        <v>0</v>
      </c>
      <c r="J84" s="37">
        <v>0</v>
      </c>
      <c r="K84" s="37">
        <v>528.29999999999995</v>
      </c>
      <c r="L84" s="37">
        <v>0</v>
      </c>
      <c r="M84" s="37">
        <v>0</v>
      </c>
      <c r="N84" s="37">
        <v>0</v>
      </c>
      <c r="O84" s="37">
        <v>532.02</v>
      </c>
      <c r="P84" s="37">
        <v>0</v>
      </c>
      <c r="Q84" s="37">
        <v>0</v>
      </c>
      <c r="R84" s="37">
        <v>0</v>
      </c>
      <c r="S84" s="37">
        <v>0</v>
      </c>
      <c r="T84" s="37">
        <v>0</v>
      </c>
      <c r="U84" s="37">
        <v>0</v>
      </c>
      <c r="V84" s="37">
        <v>532.02</v>
      </c>
      <c r="W84" s="37">
        <v>0</v>
      </c>
      <c r="X84" s="37">
        <v>0</v>
      </c>
      <c r="Y84" s="37">
        <v>532.02</v>
      </c>
      <c r="Z84" s="37">
        <v>532.02</v>
      </c>
      <c r="AA84" s="37">
        <v>0</v>
      </c>
      <c r="AB84" s="37">
        <v>466.2</v>
      </c>
      <c r="AC84" s="37">
        <v>0</v>
      </c>
      <c r="AD84" s="37">
        <v>360</v>
      </c>
      <c r="AE84" s="37">
        <v>0</v>
      </c>
      <c r="AF84" s="37">
        <v>0</v>
      </c>
      <c r="AG84" s="37">
        <v>0</v>
      </c>
      <c r="AH84" s="37">
        <v>0</v>
      </c>
      <c r="AI84" cm="1">
        <f t="array" ref="AI84">SUM(C84:AH84)</f>
        <v>4715.28</v>
      </c>
    </row>
    <row r="85" spans="1:35" x14ac:dyDescent="0.25">
      <c r="A85">
        <v>76</v>
      </c>
      <c r="B85" t="s">
        <v>115</v>
      </c>
      <c r="C85" s="37">
        <v>0</v>
      </c>
      <c r="D85" s="37">
        <v>0</v>
      </c>
      <c r="E85" s="37">
        <v>0</v>
      </c>
      <c r="F85" s="37">
        <v>0</v>
      </c>
      <c r="G85" s="37">
        <v>0</v>
      </c>
      <c r="H85" s="37">
        <v>0</v>
      </c>
      <c r="I85" s="37">
        <v>0</v>
      </c>
      <c r="J85" s="37">
        <v>0</v>
      </c>
      <c r="K85" s="37">
        <v>0</v>
      </c>
      <c r="L85" s="37">
        <v>0</v>
      </c>
      <c r="M85" s="37">
        <v>786</v>
      </c>
      <c r="N85" s="37">
        <v>0</v>
      </c>
      <c r="O85" s="37">
        <v>0</v>
      </c>
      <c r="P85" s="37">
        <v>0</v>
      </c>
      <c r="Q85" s="37">
        <v>0</v>
      </c>
      <c r="R85" s="37">
        <v>0</v>
      </c>
      <c r="S85" s="37">
        <v>1310</v>
      </c>
      <c r="T85" s="37">
        <v>1048</v>
      </c>
      <c r="U85" s="37">
        <v>492.7</v>
      </c>
      <c r="V85" s="37">
        <v>0</v>
      </c>
      <c r="W85" s="37">
        <v>0</v>
      </c>
      <c r="X85" s="37">
        <v>0</v>
      </c>
      <c r="Y85" s="37">
        <v>0</v>
      </c>
      <c r="Z85" s="37">
        <v>0</v>
      </c>
      <c r="AA85" s="37">
        <v>0</v>
      </c>
      <c r="AB85" s="37">
        <v>0</v>
      </c>
      <c r="AC85" s="37">
        <v>0</v>
      </c>
      <c r="AD85" s="37">
        <v>0</v>
      </c>
      <c r="AE85" s="37">
        <v>0</v>
      </c>
      <c r="AF85" s="37">
        <v>0</v>
      </c>
      <c r="AG85" s="37">
        <v>0</v>
      </c>
      <c r="AH85" s="37">
        <v>0</v>
      </c>
      <c r="AI85" cm="1">
        <f t="array" ref="AI85">SUM(C85:AH85)</f>
        <v>3636.7</v>
      </c>
    </row>
    <row r="86" spans="1:35" x14ac:dyDescent="0.25">
      <c r="A86">
        <v>77</v>
      </c>
      <c r="B86" t="s">
        <v>116</v>
      </c>
      <c r="C86" s="37">
        <v>0</v>
      </c>
      <c r="D86" s="37">
        <v>0</v>
      </c>
      <c r="E86" s="37">
        <v>0</v>
      </c>
      <c r="F86" s="37">
        <v>0</v>
      </c>
      <c r="G86" s="37">
        <v>0</v>
      </c>
      <c r="H86" s="37">
        <v>0</v>
      </c>
      <c r="I86" s="37">
        <v>0</v>
      </c>
      <c r="J86" s="37">
        <v>0</v>
      </c>
      <c r="K86" s="37">
        <v>0</v>
      </c>
      <c r="L86" s="37">
        <v>0</v>
      </c>
      <c r="M86" s="37">
        <v>0</v>
      </c>
      <c r="N86" s="37">
        <v>0</v>
      </c>
      <c r="O86" s="37">
        <v>0</v>
      </c>
      <c r="P86" s="37">
        <v>0</v>
      </c>
      <c r="Q86" s="37">
        <v>0</v>
      </c>
      <c r="R86" s="37">
        <v>365</v>
      </c>
      <c r="S86" s="37">
        <v>0</v>
      </c>
      <c r="T86" s="37">
        <v>0</v>
      </c>
      <c r="U86" s="37">
        <v>0</v>
      </c>
      <c r="V86" s="37">
        <v>0</v>
      </c>
      <c r="W86" s="37">
        <v>0</v>
      </c>
      <c r="X86" s="37">
        <v>0</v>
      </c>
      <c r="Y86" s="37">
        <v>0</v>
      </c>
      <c r="Z86" s="37">
        <v>0</v>
      </c>
      <c r="AA86" s="37">
        <v>0</v>
      </c>
      <c r="AB86" s="37">
        <v>0</v>
      </c>
      <c r="AC86" s="37">
        <v>0</v>
      </c>
      <c r="AD86" s="37">
        <v>630</v>
      </c>
      <c r="AE86" s="37">
        <v>0</v>
      </c>
      <c r="AF86" s="37">
        <v>0</v>
      </c>
      <c r="AG86" s="37">
        <v>0</v>
      </c>
      <c r="AH86" s="37">
        <v>0</v>
      </c>
      <c r="AI86" cm="1">
        <f t="array" ref="AI86">SUM(C86:AH86)</f>
        <v>995</v>
      </c>
    </row>
    <row r="87" spans="1:35" x14ac:dyDescent="0.25">
      <c r="A87">
        <v>78</v>
      </c>
      <c r="B87" t="s">
        <v>117</v>
      </c>
      <c r="C87" s="37">
        <v>0</v>
      </c>
      <c r="D87" s="37">
        <v>0</v>
      </c>
      <c r="E87" s="37">
        <v>0</v>
      </c>
      <c r="F87" s="37">
        <v>0</v>
      </c>
      <c r="G87" s="37">
        <v>0</v>
      </c>
      <c r="H87" s="37">
        <v>0</v>
      </c>
      <c r="I87" s="37">
        <v>0</v>
      </c>
      <c r="J87" s="37">
        <v>0</v>
      </c>
      <c r="K87" s="37">
        <v>0</v>
      </c>
      <c r="L87" s="37">
        <v>0</v>
      </c>
      <c r="M87" s="37">
        <v>0</v>
      </c>
      <c r="N87" s="37">
        <v>0</v>
      </c>
      <c r="O87" s="37">
        <v>0</v>
      </c>
      <c r="P87" s="37">
        <v>0</v>
      </c>
      <c r="Q87" s="37">
        <v>0</v>
      </c>
      <c r="R87" s="37">
        <v>0</v>
      </c>
      <c r="S87" s="37">
        <v>0</v>
      </c>
      <c r="T87" s="37">
        <v>0</v>
      </c>
      <c r="U87" s="37">
        <v>0</v>
      </c>
      <c r="V87" s="37">
        <v>0</v>
      </c>
      <c r="W87" s="37">
        <v>540</v>
      </c>
      <c r="X87" s="37">
        <v>0</v>
      </c>
      <c r="Y87" s="37">
        <v>0</v>
      </c>
      <c r="Z87" s="37">
        <v>0</v>
      </c>
      <c r="AA87" s="37">
        <v>0</v>
      </c>
      <c r="AB87" s="37">
        <v>546</v>
      </c>
      <c r="AC87" s="37">
        <v>0</v>
      </c>
      <c r="AD87" s="37">
        <v>273</v>
      </c>
      <c r="AE87" s="37">
        <v>0</v>
      </c>
      <c r="AF87" s="37">
        <v>0</v>
      </c>
      <c r="AG87" s="37">
        <v>0</v>
      </c>
      <c r="AH87" s="37">
        <v>0</v>
      </c>
      <c r="AI87" cm="1">
        <f t="array" ref="AI87">SUM(C87:AH87)</f>
        <v>1359</v>
      </c>
    </row>
    <row r="88" spans="1:35" x14ac:dyDescent="0.25">
      <c r="A88">
        <v>79</v>
      </c>
      <c r="B88" t="s">
        <v>118</v>
      </c>
      <c r="C88" s="37">
        <v>0</v>
      </c>
      <c r="D88" s="37">
        <v>0</v>
      </c>
      <c r="E88" s="37">
        <v>0</v>
      </c>
      <c r="F88" s="37">
        <v>0</v>
      </c>
      <c r="G88" s="37">
        <v>0</v>
      </c>
      <c r="H88" s="37">
        <v>0</v>
      </c>
      <c r="I88" s="37">
        <v>0</v>
      </c>
      <c r="J88" s="37">
        <v>0</v>
      </c>
      <c r="K88" s="37">
        <v>0</v>
      </c>
      <c r="L88" s="37">
        <v>0</v>
      </c>
      <c r="M88" s="37">
        <v>0</v>
      </c>
      <c r="N88" s="37">
        <v>0</v>
      </c>
      <c r="O88" s="37">
        <v>0</v>
      </c>
      <c r="P88" s="37">
        <v>0</v>
      </c>
      <c r="Q88" s="37">
        <v>0</v>
      </c>
      <c r="R88" s="37">
        <v>0</v>
      </c>
      <c r="S88" s="37">
        <v>0</v>
      </c>
      <c r="T88" s="37">
        <v>0</v>
      </c>
      <c r="U88" s="37">
        <v>0</v>
      </c>
      <c r="V88" s="37">
        <v>0</v>
      </c>
      <c r="W88" s="37">
        <v>0</v>
      </c>
      <c r="X88" s="37">
        <v>0</v>
      </c>
      <c r="Y88" s="37">
        <v>0</v>
      </c>
      <c r="Z88" s="37">
        <v>0</v>
      </c>
      <c r="AA88" s="37">
        <v>0</v>
      </c>
      <c r="AB88" s="37">
        <v>0</v>
      </c>
      <c r="AC88" s="37">
        <v>0</v>
      </c>
      <c r="AD88" s="37">
        <v>0</v>
      </c>
      <c r="AE88" s="37">
        <v>0</v>
      </c>
      <c r="AF88" s="37">
        <v>0</v>
      </c>
      <c r="AG88" s="37">
        <v>0</v>
      </c>
      <c r="AH88" s="37">
        <v>0</v>
      </c>
      <c r="AI88" cm="1">
        <f t="array" ref="AI88">SUM(C88:AH88)</f>
        <v>0</v>
      </c>
    </row>
    <row r="89" spans="1:35" x14ac:dyDescent="0.25">
      <c r="A89">
        <v>80</v>
      </c>
      <c r="B89" t="s">
        <v>119</v>
      </c>
      <c r="C89" s="37">
        <v>9840</v>
      </c>
      <c r="D89" s="37">
        <v>8200</v>
      </c>
      <c r="E89" s="37">
        <v>4100</v>
      </c>
      <c r="F89" s="37">
        <v>10660</v>
      </c>
      <c r="G89" s="37">
        <v>6560</v>
      </c>
      <c r="H89" s="37">
        <v>820</v>
      </c>
      <c r="I89" s="37">
        <v>10660</v>
      </c>
      <c r="J89" s="37">
        <v>4920</v>
      </c>
      <c r="K89" s="37">
        <v>2460</v>
      </c>
      <c r="L89" s="37">
        <v>2460</v>
      </c>
      <c r="M89" s="37">
        <v>820</v>
      </c>
      <c r="N89" s="37">
        <v>5740</v>
      </c>
      <c r="O89" s="37">
        <v>1640</v>
      </c>
      <c r="P89" s="37">
        <v>5740</v>
      </c>
      <c r="Q89" s="37">
        <v>6560</v>
      </c>
      <c r="R89" s="37">
        <v>3280</v>
      </c>
      <c r="S89" s="37">
        <v>7380</v>
      </c>
      <c r="T89" s="37">
        <v>2460</v>
      </c>
      <c r="U89" s="37">
        <v>0</v>
      </c>
      <c r="V89" s="37">
        <v>9840</v>
      </c>
      <c r="W89" s="37">
        <v>0</v>
      </c>
      <c r="X89" s="37">
        <v>0</v>
      </c>
      <c r="Y89" s="37">
        <v>0</v>
      </c>
      <c r="Z89" s="37">
        <v>0</v>
      </c>
      <c r="AA89" s="37">
        <v>9840</v>
      </c>
      <c r="AB89" s="37">
        <v>4100</v>
      </c>
      <c r="AC89" s="37">
        <v>8200</v>
      </c>
      <c r="AD89" s="37">
        <v>8200</v>
      </c>
      <c r="AE89" s="37">
        <v>8200</v>
      </c>
      <c r="AF89" s="37">
        <v>8200</v>
      </c>
      <c r="AG89" s="37">
        <v>16400</v>
      </c>
      <c r="AH89" s="37">
        <v>8200</v>
      </c>
      <c r="AI89" cm="1">
        <f t="array" ref="AI89">SUM(C89:AH89)</f>
        <v>175480</v>
      </c>
    </row>
    <row r="90" spans="1:35" x14ac:dyDescent="0.25">
      <c r="A90">
        <v>81</v>
      </c>
      <c r="B90" t="s">
        <v>120</v>
      </c>
      <c r="C90" s="37">
        <v>0</v>
      </c>
      <c r="D90" s="37">
        <v>0</v>
      </c>
      <c r="E90" s="37">
        <v>0</v>
      </c>
      <c r="F90" s="37">
        <v>0</v>
      </c>
      <c r="G90" s="37">
        <v>0</v>
      </c>
      <c r="H90" s="37">
        <v>0</v>
      </c>
      <c r="I90" s="37">
        <v>0</v>
      </c>
      <c r="J90" s="37">
        <v>0</v>
      </c>
      <c r="K90" s="37">
        <v>0</v>
      </c>
      <c r="L90" s="37">
        <v>0</v>
      </c>
      <c r="M90" s="37">
        <v>0</v>
      </c>
      <c r="N90" s="37">
        <v>0</v>
      </c>
      <c r="O90" s="37">
        <v>0</v>
      </c>
      <c r="P90" s="37">
        <v>0</v>
      </c>
      <c r="Q90" s="37">
        <v>0</v>
      </c>
      <c r="R90" s="37">
        <v>0</v>
      </c>
      <c r="S90" s="37">
        <v>0</v>
      </c>
      <c r="T90" s="37">
        <v>0</v>
      </c>
      <c r="U90" s="37">
        <v>0</v>
      </c>
      <c r="V90" s="37">
        <v>60</v>
      </c>
      <c r="W90" s="37">
        <v>0</v>
      </c>
      <c r="X90" s="37">
        <v>0</v>
      </c>
      <c r="Y90" s="37">
        <v>0</v>
      </c>
      <c r="Z90" s="37">
        <v>0</v>
      </c>
      <c r="AA90" s="37">
        <v>0</v>
      </c>
      <c r="AB90" s="37">
        <v>0</v>
      </c>
      <c r="AC90" s="37">
        <v>0</v>
      </c>
      <c r="AD90" s="37">
        <v>0</v>
      </c>
      <c r="AE90" s="37">
        <v>0</v>
      </c>
      <c r="AF90" s="37">
        <v>0</v>
      </c>
      <c r="AG90" s="37">
        <v>0</v>
      </c>
      <c r="AH90" s="37">
        <v>0</v>
      </c>
      <c r="AI90" cm="1">
        <f t="array" ref="AI90">SUM(C90:AH90)</f>
        <v>60</v>
      </c>
    </row>
    <row r="91" spans="1:35" x14ac:dyDescent="0.25">
      <c r="A91">
        <v>82</v>
      </c>
      <c r="B91" t="s">
        <v>121</v>
      </c>
      <c r="C91" s="37">
        <v>0</v>
      </c>
      <c r="D91" s="37">
        <v>0</v>
      </c>
      <c r="E91" s="37">
        <v>0</v>
      </c>
      <c r="F91" s="37">
        <v>0</v>
      </c>
      <c r="G91" s="37">
        <v>0</v>
      </c>
      <c r="H91" s="37">
        <v>0</v>
      </c>
      <c r="I91" s="37">
        <v>0</v>
      </c>
      <c r="J91" s="37">
        <v>0</v>
      </c>
      <c r="K91" s="37">
        <v>0</v>
      </c>
      <c r="L91" s="37">
        <v>0</v>
      </c>
      <c r="M91" s="37">
        <v>0</v>
      </c>
      <c r="N91" s="37">
        <v>0</v>
      </c>
      <c r="O91" s="37">
        <v>0</v>
      </c>
      <c r="P91" s="37">
        <v>0</v>
      </c>
      <c r="Q91" s="37">
        <v>0</v>
      </c>
      <c r="R91" s="37">
        <v>0</v>
      </c>
      <c r="S91" s="37">
        <v>0</v>
      </c>
      <c r="T91" s="37">
        <v>0</v>
      </c>
      <c r="U91" s="37">
        <v>0</v>
      </c>
      <c r="V91" s="37">
        <v>0</v>
      </c>
      <c r="W91" s="37">
        <v>0</v>
      </c>
      <c r="X91" s="37">
        <v>0</v>
      </c>
      <c r="Y91" s="37">
        <v>0</v>
      </c>
      <c r="Z91" s="37">
        <v>0</v>
      </c>
      <c r="AA91" s="37">
        <v>0</v>
      </c>
      <c r="AB91" s="37">
        <v>0</v>
      </c>
      <c r="AC91" s="37">
        <v>0</v>
      </c>
      <c r="AD91" s="37">
        <v>0</v>
      </c>
      <c r="AE91" s="37">
        <v>0</v>
      </c>
      <c r="AF91" s="37">
        <v>600</v>
      </c>
      <c r="AG91" s="37">
        <v>1800</v>
      </c>
      <c r="AH91" s="37">
        <v>0</v>
      </c>
      <c r="AI91" cm="1">
        <f t="array" ref="AI91">SUM(C91:AH91)</f>
        <v>2400</v>
      </c>
    </row>
    <row r="92" spans="1:35" x14ac:dyDescent="0.25">
      <c r="A92">
        <v>83</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cm="1">
        <f t="array" ref="AI92">SUM(C92:AH92)</f>
        <v>0</v>
      </c>
    </row>
    <row r="93" spans="1:35" x14ac:dyDescent="0.25">
      <c r="A93">
        <v>84</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cm="1">
        <f t="array" ref="AI93">SUM(C93:AH93)</f>
        <v>0</v>
      </c>
    </row>
    <row r="94" spans="1:35" x14ac:dyDescent="0.25">
      <c r="A94">
        <v>85</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cm="1">
        <f t="array" ref="AI94">SUM(C94:AH94)</f>
        <v>0</v>
      </c>
    </row>
    <row r="95" spans="1:35" x14ac:dyDescent="0.25">
      <c r="A95">
        <v>86</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cm="1">
        <f t="array" ref="AI95">SUM(C95:AH95)</f>
        <v>0</v>
      </c>
    </row>
    <row r="96" spans="1:35" x14ac:dyDescent="0.25">
      <c r="A96">
        <v>87</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cm="1">
        <f t="array" ref="AI96">SUM(C96:AH96)</f>
        <v>0</v>
      </c>
    </row>
    <row r="97" spans="1:35" x14ac:dyDescent="0.25">
      <c r="A97">
        <v>88</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cm="1">
        <f t="array" ref="AI97">SUM(C97:AH97)</f>
        <v>0</v>
      </c>
    </row>
    <row r="98" spans="1:35" x14ac:dyDescent="0.25">
      <c r="A98">
        <v>89</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cm="1">
        <f t="array" ref="AI98">SUM(C98:AH98)</f>
        <v>0</v>
      </c>
    </row>
    <row r="99" spans="1:35" x14ac:dyDescent="0.25">
      <c r="A99">
        <v>90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cm="1">
        <f t="array" ref="AI99">SUM(C99:AH99)</f>
        <v>0</v>
      </c>
    </row>
    <row r="100" spans="1:35" x14ac:dyDescent="0.25">
      <c r="A100">
        <v>91</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cm="1">
        <f t="array" ref="AI100">SUM(C100:AH100)</f>
        <v>0</v>
      </c>
    </row>
    <row r="101" spans="1:35" x14ac:dyDescent="0.25">
      <c r="A101">
        <v>92</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cm="1">
        <f t="array" ref="AI101">SUM(C101:AH101)</f>
        <v>0</v>
      </c>
    </row>
    <row r="102" spans="1:35" x14ac:dyDescent="0.25">
      <c r="A102">
        <v>93</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cm="1">
        <f t="array" ref="AI102">SUM(C102:AH102)</f>
        <v>0</v>
      </c>
    </row>
    <row r="103" spans="1:35" x14ac:dyDescent="0.25">
      <c r="A103">
        <v>94</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cm="1">
        <f t="array" ref="AI103">SUM(C103:AH103)</f>
        <v>0</v>
      </c>
    </row>
    <row r="104" spans="1:35" x14ac:dyDescent="0.25">
      <c r="A104">
        <v>95</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cm="1">
        <f t="array" ref="AI104">SUM(C104:AH104)</f>
        <v>0</v>
      </c>
    </row>
    <row r="105" spans="1:35" x14ac:dyDescent="0.25">
      <c r="A105">
        <v>96</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cm="1">
        <f t="array" ref="AI105">SUM(C105:AH105)</f>
        <v>0</v>
      </c>
    </row>
    <row r="106" spans="1:35" x14ac:dyDescent="0.25">
      <c r="A106">
        <v>97</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cm="1">
        <f t="array" ref="AI106">SUM(C106:AH106)</f>
        <v>0</v>
      </c>
    </row>
    <row r="107" spans="1:35" x14ac:dyDescent="0.25">
      <c r="A107">
        <v>98</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cm="1">
        <f t="array" ref="AI107">SUM(C107:AH107)</f>
        <v>0</v>
      </c>
    </row>
    <row r="108" spans="1:35" x14ac:dyDescent="0.25">
      <c r="A108">
        <v>99</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cm="1">
        <f t="array" ref="AI108">SUM(C108:AH108)</f>
        <v>0</v>
      </c>
    </row>
    <row r="109" spans="1:35" x14ac:dyDescent="0.25">
      <c r="A109">
        <v>100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cm="1">
        <f t="array" ref="AI109">SUM(C109:AH109)</f>
        <v>0</v>
      </c>
    </row>
    <row r="110" spans="1:35" x14ac:dyDescent="0.25">
      <c r="A110">
        <v>101</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cm="1">
        <f t="array" ref="AI110">SUM(C110:AH110)</f>
        <v>0</v>
      </c>
    </row>
    <row r="111" spans="1:35" x14ac:dyDescent="0.25">
      <c r="A111">
        <v>102</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cm="1">
        <f t="array" ref="AI111">SUM(C111:AH111)</f>
        <v>0</v>
      </c>
    </row>
    <row r="112" spans="1:35" x14ac:dyDescent="0.25">
      <c r="A112">
        <v>103</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cm="1">
        <f t="array" ref="AI112">SUM(C112:AH112)</f>
        <v>0</v>
      </c>
    </row>
    <row r="113" spans="1:35" x14ac:dyDescent="0.25">
      <c r="A113">
        <v>104</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cm="1">
        <f t="array" ref="AI113">SUM(C113:AH113)</f>
        <v>0</v>
      </c>
    </row>
    <row r="114" spans="1:35" x14ac:dyDescent="0.25">
      <c r="A114">
        <v>105</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cm="1">
        <f t="array" ref="AI114">SUM(C114:AH114)</f>
        <v>0</v>
      </c>
    </row>
    <row r="115" spans="1:35" x14ac:dyDescent="0.25">
      <c r="A115">
        <v>106</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cm="1">
        <f t="array" ref="AI115">SUM(C115:AH115)</f>
        <v>0</v>
      </c>
    </row>
    <row r="116" spans="1:35" x14ac:dyDescent="0.25">
      <c r="A116">
        <v>107</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cm="1">
        <f t="array" ref="AI116">SUM(C116:AH116)</f>
        <v>0</v>
      </c>
    </row>
    <row r="117" spans="1:35" x14ac:dyDescent="0.25">
      <c r="A117">
        <v>108</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cm="1">
        <f t="array" ref="AI117">SUM(C117:AH117)</f>
        <v>0</v>
      </c>
    </row>
    <row r="118" spans="1:35" x14ac:dyDescent="0.25">
      <c r="A118">
        <v>109</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cm="1">
        <f t="array" ref="AI118">SUM(C118:AH118)</f>
        <v>0</v>
      </c>
    </row>
    <row r="119" spans="1:35" x14ac:dyDescent="0.25">
      <c r="A119">
        <v>110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cm="1">
        <f t="array" ref="AI119">SUM(C119:AH119)</f>
        <v>0</v>
      </c>
    </row>
    <row r="120" spans="1:35" x14ac:dyDescent="0.25">
      <c r="A120">
        <v>111</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cm="1">
        <f t="array" ref="AI120">SUM(C120:AH120)</f>
        <v>0</v>
      </c>
    </row>
    <row r="121" spans="1:35" x14ac:dyDescent="0.25">
      <c r="A121">
        <v>112</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cm="1">
        <f t="array" ref="AI121">SUM(C121:AH121)</f>
        <v>0</v>
      </c>
    </row>
    <row r="122" spans="1:35" x14ac:dyDescent="0.25">
      <c r="A122">
        <v>113</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cm="1">
        <f t="array" ref="AI122">SUM(C122:AH122)</f>
        <v>0</v>
      </c>
    </row>
    <row r="123" spans="1:35" x14ac:dyDescent="0.25">
      <c r="A123">
        <v>114</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cm="1">
        <f t="array" ref="AI123">SUM(C123:AH123)</f>
        <v>0</v>
      </c>
    </row>
    <row r="124" spans="1:35" x14ac:dyDescent="0.25">
      <c r="A124">
        <v>115</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cm="1">
        <f t="array" ref="AI124">SUM(C124:AH124)</f>
        <v>0</v>
      </c>
    </row>
    <row r="125" spans="1:35" x14ac:dyDescent="0.25">
      <c r="A125">
        <v>116</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cm="1">
        <f t="array" ref="AI125">SUM(C125:AH125)</f>
        <v>0</v>
      </c>
    </row>
    <row r="126" spans="1:35" x14ac:dyDescent="0.25">
      <c r="A126">
        <v>117</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cm="1">
        <f t="array" ref="AI126">SUM(C126:AH126)</f>
        <v>0</v>
      </c>
    </row>
    <row r="127" spans="1:35" x14ac:dyDescent="0.25">
      <c r="A127">
        <v>118</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cm="1">
        <f t="array" ref="AI127">SUM(C127:AH127)</f>
        <v>0</v>
      </c>
    </row>
    <row r="128" spans="1:35" x14ac:dyDescent="0.25">
      <c r="A128">
        <v>119</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cm="1">
        <f t="array" ref="AI128">SUM(C128:AH128)</f>
        <v>0</v>
      </c>
    </row>
    <row r="129" spans="1:35" x14ac:dyDescent="0.25">
      <c r="A129">
        <v>120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cm="1">
        <f t="array" ref="AI129">SUM(C129:AH129)</f>
        <v>0</v>
      </c>
    </row>
    <row r="130" spans="1:35" x14ac:dyDescent="0.25">
      <c r="A130">
        <v>121</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cm="1">
        <f t="array" ref="AI130">SUM(C130:AH130)</f>
        <v>0</v>
      </c>
    </row>
    <row r="131" spans="1:35" x14ac:dyDescent="0.25">
      <c r="A131">
        <v>122</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cm="1">
        <f t="array" ref="AI131">SUM(C131:AH131)</f>
        <v>0</v>
      </c>
    </row>
    <row r="132" spans="1:35" x14ac:dyDescent="0.25">
      <c r="A132">
        <v>123</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cm="1">
        <f t="array" ref="AI132">SUM(C132:AH132)</f>
        <v>0</v>
      </c>
    </row>
    <row r="133" spans="1:35" x14ac:dyDescent="0.25">
      <c r="A133">
        <v>124</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cm="1">
        <f t="array" ref="AI133">SUM(C133:AH133)</f>
        <v>0</v>
      </c>
    </row>
    <row r="134" spans="1:35" x14ac:dyDescent="0.25">
      <c r="A134">
        <v>125</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cm="1">
        <f t="array" ref="AI134">SUM(C134:AH134)</f>
        <v>0</v>
      </c>
    </row>
    <row r="135" spans="1:35" x14ac:dyDescent="0.25">
      <c r="A135">
        <v>126</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cm="1">
        <f t="array" ref="AI135">SUM(C135:AH135)</f>
        <v>0</v>
      </c>
    </row>
    <row r="136" spans="1:35" x14ac:dyDescent="0.25">
      <c r="A136">
        <v>127</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cm="1">
        <f t="array" ref="AI136">SUM(C136:AH136)</f>
        <v>0</v>
      </c>
    </row>
    <row r="137" spans="1:35" x14ac:dyDescent="0.25">
      <c r="A137">
        <v>128</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cm="1">
        <f t="array" ref="AI137">SUM(C137:AH137)</f>
        <v>0</v>
      </c>
    </row>
    <row r="138" spans="1:35" x14ac:dyDescent="0.25">
      <c r="A138">
        <v>129</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cm="1">
        <f t="array" ref="AI138">SUM(C138:AH138)</f>
        <v>0</v>
      </c>
    </row>
    <row r="139" spans="1:35" x14ac:dyDescent="0.25">
      <c r="A139">
        <v>130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cm="1">
        <f t="array" ref="AI139">SUM(C139:AH139)</f>
        <v>0</v>
      </c>
    </row>
    <row r="140" spans="1:35" x14ac:dyDescent="0.25">
      <c r="A140">
        <v>131</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cm="1">
        <f t="array" ref="AI140">SUM(C140:AH140)</f>
        <v>0</v>
      </c>
    </row>
    <row r="141" spans="1:35" x14ac:dyDescent="0.25">
      <c r="A141">
        <v>132</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cm="1">
        <f t="array" ref="AI141">SUM(C141:AH141)</f>
        <v>0</v>
      </c>
    </row>
    <row r="142" spans="1:35" x14ac:dyDescent="0.25">
      <c r="A142">
        <v>133</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cm="1">
        <f t="array" ref="AI142">SUM(C142:AH142)</f>
        <v>0</v>
      </c>
    </row>
    <row r="143" spans="1:35" x14ac:dyDescent="0.25">
      <c r="A143">
        <v>134</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cm="1">
        <f t="array" ref="AI143">SUM(C143:AH143)</f>
        <v>0</v>
      </c>
    </row>
    <row r="144" spans="1:35" x14ac:dyDescent="0.25">
      <c r="A144">
        <v>135</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cm="1">
        <f t="array" ref="AI144">SUM(C144:AH144)</f>
        <v>0</v>
      </c>
    </row>
    <row r="145" spans="1:35" x14ac:dyDescent="0.25">
      <c r="A145">
        <v>136</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cm="1">
        <f t="array" ref="AI145">SUM(C145:AH145)</f>
        <v>0</v>
      </c>
    </row>
    <row r="146" spans="1:35" x14ac:dyDescent="0.25">
      <c r="A146">
        <v>137</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cm="1">
        <f t="array" ref="AI146">SUM(C146:AH146)</f>
        <v>0</v>
      </c>
    </row>
    <row r="147" spans="1:35" x14ac:dyDescent="0.25">
      <c r="A147">
        <v>138</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cm="1">
        <f t="array" ref="AI147">SUM(C147:AH147)</f>
        <v>0</v>
      </c>
    </row>
    <row r="148" spans="1:35" x14ac:dyDescent="0.25">
      <c r="A148">
        <v>139</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cm="1">
        <f t="array" ref="AI148">SUM(C148:AH148)</f>
        <v>0</v>
      </c>
    </row>
    <row r="149" spans="1:35" x14ac:dyDescent="0.25">
      <c r="A149">
        <v>140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cm="1">
        <f t="array" ref="AI149">SUM(C149:AH149)</f>
        <v>0</v>
      </c>
    </row>
    <row r="150" spans="1:35" x14ac:dyDescent="0.25">
      <c r="A150">
        <v>141</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cm="1">
        <f t="array" ref="AI150">SUM(C150:AH150)</f>
        <v>0</v>
      </c>
    </row>
    <row r="151" spans="1:35" x14ac:dyDescent="0.25">
      <c r="A151">
        <v>142</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cm="1">
        <f t="array" ref="AI151">SUM(C151:AH151)</f>
        <v>0</v>
      </c>
    </row>
    <row r="152" spans="1:35" x14ac:dyDescent="0.25">
      <c r="A152">
        <v>143</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cm="1">
        <f t="array" ref="AI152">SUM(C152:AH152)</f>
        <v>0</v>
      </c>
    </row>
    <row r="153" spans="1:35" x14ac:dyDescent="0.25">
      <c r="A153">
        <v>144</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cm="1">
        <f t="array" ref="AI153">SUM(C153:AH153)</f>
        <v>0</v>
      </c>
    </row>
    <row r="154" spans="1:35" x14ac:dyDescent="0.25">
      <c r="A154">
        <v>145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cm="1">
        <f t="array" ref="AI154">SUM(C154:AH154)</f>
        <v>0</v>
      </c>
    </row>
    <row r="155" spans="1:35" x14ac:dyDescent="0.25">
      <c r="A155">
        <v>146</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cm="1">
        <f t="array" ref="AI155">SUM(C155:AH155)</f>
        <v>0</v>
      </c>
    </row>
    <row r="156" spans="1:35" x14ac:dyDescent="0.25">
      <c r="A156">
        <v>147</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cm="1">
        <f t="array" ref="AI156">SUM(C156:AH156)</f>
        <v>0</v>
      </c>
    </row>
    <row r="157" spans="1:35" x14ac:dyDescent="0.25">
      <c r="A157">
        <v>148</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cm="1">
        <f t="array" ref="AI157">SUM(C157:AH157)</f>
        <v>0</v>
      </c>
    </row>
    <row r="158" spans="1:35" x14ac:dyDescent="0.25">
      <c r="A158">
        <v>149</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cm="1">
        <f t="array" ref="AI158">SUM(C158:AH158)</f>
        <v>0</v>
      </c>
    </row>
    <row r="159" spans="1:35" x14ac:dyDescent="0.25">
      <c r="A159">
        <v>150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cm="1">
        <f t="array" ref="AI159">SUM(C159:AH159)</f>
        <v>0</v>
      </c>
    </row>
    <row r="160" spans="1:35" x14ac:dyDescent="0.25">
      <c r="A160">
        <v>151</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cm="1">
        <f t="array" ref="AI160">SUM(C160:AH160)</f>
        <v>0</v>
      </c>
    </row>
    <row r="161" spans="1:35" x14ac:dyDescent="0.25">
      <c r="A161">
        <v>152</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cm="1">
        <f t="array" ref="AI161">SUM(C161:AH161)</f>
        <v>0</v>
      </c>
    </row>
    <row r="162" spans="1:35" x14ac:dyDescent="0.25">
      <c r="A162">
        <v>153</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cm="1">
        <f t="array" ref="AI162">SUM(C162:AH162)</f>
        <v>0</v>
      </c>
    </row>
    <row r="163" spans="1:35" x14ac:dyDescent="0.25">
      <c r="A163">
        <v>154</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cm="1">
        <f t="array" ref="AI163">SUM(C163:AH163)</f>
        <v>0</v>
      </c>
    </row>
    <row r="164" spans="1:35" x14ac:dyDescent="0.25">
      <c r="A164">
        <v>155</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cm="1">
        <f t="array" ref="AI164">SUM(C164:AH164)</f>
        <v>0</v>
      </c>
    </row>
    <row r="165" spans="1:35" x14ac:dyDescent="0.25">
      <c r="A165">
        <v>156</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cm="1">
        <f t="array" ref="AI165">SUM(C165:AH165)</f>
        <v>0</v>
      </c>
    </row>
    <row r="166" spans="1:35" x14ac:dyDescent="0.25">
      <c r="A166">
        <v>157</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cm="1">
        <f t="array" ref="AI166">SUM(C166:AH166)</f>
        <v>0</v>
      </c>
    </row>
    <row r="167" spans="1:35" x14ac:dyDescent="0.25">
      <c r="A167">
        <v>158</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cm="1">
        <f t="array" ref="AI167">SUM(C167:AH167)</f>
        <v>0</v>
      </c>
    </row>
    <row r="168" spans="1:35" x14ac:dyDescent="0.25">
      <c r="A168">
        <v>159</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cm="1">
        <f t="array" ref="AI168">SUM(C168:AH168)</f>
        <v>0</v>
      </c>
    </row>
    <row r="169" spans="1:35" x14ac:dyDescent="0.25">
      <c r="A169">
        <v>160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cm="1">
        <f t="array" ref="AI169">SUM(C169:AH169)</f>
        <v>0</v>
      </c>
    </row>
    <row r="170" spans="1:35" x14ac:dyDescent="0.25">
      <c r="A170">
        <v>161</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cm="1">
        <f t="array" ref="AI170">SUM(C170:AH170)</f>
        <v>0</v>
      </c>
    </row>
    <row r="171" spans="1:35" x14ac:dyDescent="0.25">
      <c r="A171">
        <v>162</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cm="1">
        <f t="array" ref="AI171">SUM(C171:AH171)</f>
        <v>0</v>
      </c>
    </row>
    <row r="172" spans="1:35" x14ac:dyDescent="0.25">
      <c r="A172">
        <v>163</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cm="1">
        <f t="array" ref="AI172">SUM(C172:AH172)</f>
        <v>0</v>
      </c>
    </row>
    <row r="173" spans="1:35" x14ac:dyDescent="0.25">
      <c r="A173">
        <v>164</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cm="1">
        <f t="array" ref="AI173">SUM(C173:AH173)</f>
        <v>0</v>
      </c>
    </row>
    <row r="174" spans="1:35" x14ac:dyDescent="0.25">
      <c r="A174">
        <v>165</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cm="1">
        <f t="array" ref="AI174">SUM(C174:AH174)</f>
        <v>0</v>
      </c>
    </row>
    <row r="175" spans="1:35" x14ac:dyDescent="0.25">
      <c r="A175">
        <v>166</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cm="1">
        <f t="array" ref="AI175">SUM(C175:AH175)</f>
        <v>0</v>
      </c>
    </row>
    <row r="176" spans="1:35" x14ac:dyDescent="0.25">
      <c r="A176">
        <v>167</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cm="1">
        <f t="array" ref="AI176">SUM(C176:AH176)</f>
        <v>0</v>
      </c>
    </row>
    <row r="177" spans="1:35" x14ac:dyDescent="0.25">
      <c r="A177">
        <v>168</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cm="1">
        <f t="array" ref="AI177">SUM(C177:AH177)</f>
        <v>0</v>
      </c>
    </row>
    <row r="178" spans="1:35" x14ac:dyDescent="0.25">
      <c r="A178">
        <v>169</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cm="1">
        <f t="array" ref="AI178">SUM(C178:AH178)</f>
        <v>0</v>
      </c>
    </row>
    <row r="179" spans="1:35" x14ac:dyDescent="0.25">
      <c r="A179">
        <v>170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cm="1">
        <f t="array" ref="AI179">SUM(C179:AH179)</f>
        <v>0</v>
      </c>
    </row>
    <row r="180" spans="1:35" x14ac:dyDescent="0.25">
      <c r="A180">
        <v>171</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cm="1">
        <f t="array" ref="AI180">SUM(C180:AH180)</f>
        <v>0</v>
      </c>
    </row>
    <row r="181" spans="1:35" x14ac:dyDescent="0.25">
      <c r="A181">
        <v>172</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cm="1">
        <f t="array" ref="AI181">SUM(C181:AH181)</f>
        <v>0</v>
      </c>
    </row>
    <row r="182" spans="1:35" x14ac:dyDescent="0.25">
      <c r="A182">
        <v>173</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cm="1">
        <f t="array" ref="AI182">SUM(C182:AH182)</f>
        <v>0</v>
      </c>
    </row>
    <row r="183" spans="1:35" x14ac:dyDescent="0.25">
      <c r="A183">
        <v>174</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cm="1">
        <f t="array" ref="AI183">SUM(C183:AH183)</f>
        <v>0</v>
      </c>
    </row>
    <row r="184" spans="1:35" x14ac:dyDescent="0.25">
      <c r="A184">
        <v>175</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cm="1">
        <f t="array" ref="AI184">SUM(C184:AH184)</f>
        <v>0</v>
      </c>
    </row>
    <row r="185" spans="1:35" x14ac:dyDescent="0.25">
      <c r="A185">
        <v>176</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cm="1">
        <f t="array" ref="AI185">SUM(C185:AH185)</f>
        <v>0</v>
      </c>
    </row>
    <row r="186" spans="1:35" x14ac:dyDescent="0.25">
      <c r="A186">
        <v>177</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cm="1">
        <f t="array" ref="AI186">SUM(C186:AH186)</f>
        <v>0</v>
      </c>
    </row>
    <row r="187" spans="1:35" x14ac:dyDescent="0.25">
      <c r="A187">
        <v>178</v>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cm="1">
        <f t="array" ref="AI187">SUM(C187:AH187)</f>
        <v>0</v>
      </c>
    </row>
    <row r="188" spans="1:35" x14ac:dyDescent="0.25">
      <c r="A188">
        <v>179</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cm="1">
        <f t="array" ref="AI188">SUM(C188:AH188)</f>
        <v>0</v>
      </c>
    </row>
    <row r="189" spans="1:35" x14ac:dyDescent="0.25">
      <c r="A189">
        <v>180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cm="1">
        <f t="array" ref="AI189">SUM(C189:AH189)</f>
        <v>0</v>
      </c>
    </row>
    <row r="190" spans="1:35" x14ac:dyDescent="0.25">
      <c r="A190">
        <v>181</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cm="1">
        <f t="array" ref="AI190">SUM(C190:AH190)</f>
        <v>0</v>
      </c>
    </row>
    <row r="191" spans="1:35" x14ac:dyDescent="0.25">
      <c r="A191">
        <v>182</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cm="1">
        <f t="array" ref="AI191">SUM(C191:AH191)</f>
        <v>0</v>
      </c>
    </row>
    <row r="192" spans="1:35" x14ac:dyDescent="0.25">
      <c r="A192">
        <v>183</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cm="1">
        <f t="array" ref="AI192">SUM(C192:AH192)</f>
        <v>0</v>
      </c>
    </row>
    <row r="193" spans="1:35" x14ac:dyDescent="0.25">
      <c r="A193">
        <v>184</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cm="1">
        <f t="array" ref="AI193">SUM(C193:AH193)</f>
        <v>0</v>
      </c>
    </row>
    <row r="194" spans="1:35" x14ac:dyDescent="0.25">
      <c r="A194">
        <v>185</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cm="1">
        <f t="array" ref="AI194">SUM(C194:AH194)</f>
        <v>0</v>
      </c>
    </row>
    <row r="195" spans="1:35" x14ac:dyDescent="0.25">
      <c r="A195">
        <v>186</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cm="1">
        <f t="array" ref="AI195">SUM(C195:AH195)</f>
        <v>0</v>
      </c>
    </row>
    <row r="196" spans="1:35" x14ac:dyDescent="0.25">
      <c r="A196">
        <v>187</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cm="1">
        <f t="array" ref="AI196">SUM(C196:AH196)</f>
        <v>0</v>
      </c>
    </row>
    <row r="197" spans="1:35" x14ac:dyDescent="0.25">
      <c r="A197">
        <v>188</v>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cm="1">
        <f t="array" ref="AI197">SUM(C197:AH197)</f>
        <v>0</v>
      </c>
    </row>
    <row r="198" spans="1:35" x14ac:dyDescent="0.25">
      <c r="A198">
        <v>189</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cm="1">
        <f t="array" ref="AI198">SUM(C198:AH198)</f>
        <v>0</v>
      </c>
    </row>
    <row r="199" spans="1:35" x14ac:dyDescent="0.25">
      <c r="A199">
        <v>190</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cm="1">
        <f t="array" ref="AI199">SUM(C199:AH199)</f>
        <v>0</v>
      </c>
    </row>
    <row r="200" spans="1:35" x14ac:dyDescent="0.25">
      <c r="A200">
        <v>191</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cm="1">
        <f t="array" ref="AI200">SUM(C200:AH200)</f>
        <v>0</v>
      </c>
    </row>
    <row r="201" spans="1:35" x14ac:dyDescent="0.25">
      <c r="A201">
        <v>192</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cm="1">
        <f t="array" ref="AI201">SUM(C201:AH201)</f>
        <v>0</v>
      </c>
    </row>
    <row r="202" spans="1:35" x14ac:dyDescent="0.25">
      <c r="A202">
        <v>193</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cm="1">
        <f t="array" ref="AI202">SUM(C202:AH202)</f>
        <v>0</v>
      </c>
    </row>
    <row r="203" spans="1:35" x14ac:dyDescent="0.25">
      <c r="A203">
        <v>194</v>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cm="1">
        <f t="array" ref="AI203">SUM(C203:AH203)</f>
        <v>0</v>
      </c>
    </row>
    <row r="204" spans="1:35" x14ac:dyDescent="0.25">
      <c r="A204">
        <v>195</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cm="1">
        <f t="array" ref="AI204">SUM(C204:AH204)</f>
        <v>0</v>
      </c>
    </row>
    <row r="205" spans="1:35" x14ac:dyDescent="0.25">
      <c r="A205">
        <v>196</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cm="1">
        <f t="array" ref="AI205">SUM(C205:AH205)</f>
        <v>0</v>
      </c>
    </row>
    <row r="206" spans="1:35" x14ac:dyDescent="0.25">
      <c r="A206">
        <v>197</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cm="1">
        <f t="array" ref="AI206">SUM(C206:AH206)</f>
        <v>0</v>
      </c>
    </row>
    <row r="207" spans="1:35" x14ac:dyDescent="0.25">
      <c r="A207">
        <v>198</v>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cm="1">
        <f t="array" ref="AI207">SUM(C207:AH207)</f>
        <v>0</v>
      </c>
    </row>
    <row r="208" spans="1:35" x14ac:dyDescent="0.25">
      <c r="A208">
        <v>199</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cm="1">
        <f t="array" ref="AI208">SUM(C208:AH208)</f>
        <v>0</v>
      </c>
    </row>
    <row r="209" spans="1:35" x14ac:dyDescent="0.25">
      <c r="A209">
        <v>200</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cm="1">
        <f t="array" ref="AI209">SUM(C209:AH209)</f>
        <v>0</v>
      </c>
    </row>
    <row r="210" spans="1:35" x14ac:dyDescent="0.25">
      <c r="A210">
        <v>201</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cm="1">
        <f t="array" ref="AI210">SUM(C210:AH210)</f>
        <v>0</v>
      </c>
    </row>
    <row r="211" spans="1:35" x14ac:dyDescent="0.25">
      <c r="A211">
        <v>202</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cm="1">
        <f t="array" ref="AI211">SUM(C211:AH211)</f>
        <v>0</v>
      </c>
    </row>
    <row r="212" spans="1:35" x14ac:dyDescent="0.25">
      <c r="A212">
        <v>203</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cm="1">
        <f t="array" ref="AI212">SUM(C212:AH212)</f>
        <v>0</v>
      </c>
    </row>
    <row r="213" spans="1:35" x14ac:dyDescent="0.25">
      <c r="A213">
        <v>204</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cm="1">
        <f t="array" ref="AI213">SUM(C213:AH213)</f>
        <v>0</v>
      </c>
    </row>
    <row r="214" spans="1:35" x14ac:dyDescent="0.25">
      <c r="A214">
        <v>205</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cm="1">
        <f t="array" ref="AI214">SUM(C214:AH214)</f>
        <v>0</v>
      </c>
    </row>
    <row r="215" spans="1:35" x14ac:dyDescent="0.25">
      <c r="A215">
        <v>206</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cm="1">
        <f t="array" ref="AI215">SUM(C215:AH215)</f>
        <v>0</v>
      </c>
    </row>
    <row r="216" spans="1:35" x14ac:dyDescent="0.25">
      <c r="A216">
        <v>207</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cm="1">
        <f t="array" ref="AI216">SUM(C216:AH216)</f>
        <v>0</v>
      </c>
    </row>
    <row r="217" spans="1:35" x14ac:dyDescent="0.25">
      <c r="A217">
        <v>208</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cm="1">
        <f t="array" ref="AI217">SUM(C217:AH217)</f>
        <v>0</v>
      </c>
    </row>
    <row r="218" spans="1:35" x14ac:dyDescent="0.25">
      <c r="A218">
        <v>209</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cm="1">
        <f t="array" ref="AI218">SUM(C218:AH218)</f>
        <v>0</v>
      </c>
    </row>
    <row r="219" spans="1:35" x14ac:dyDescent="0.25">
      <c r="A219">
        <v>210</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cm="1">
        <f t="array" ref="AI219">SUM(C219:AH219)</f>
        <v>0</v>
      </c>
    </row>
    <row r="220" spans="1:35" x14ac:dyDescent="0.25">
      <c r="A220">
        <v>211</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cm="1">
        <f t="array" ref="AI220">SUM(C220:AH220)</f>
        <v>0</v>
      </c>
    </row>
    <row r="221" spans="1:35" x14ac:dyDescent="0.25">
      <c r="A221">
        <v>212</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cm="1">
        <f t="array" ref="AI221">SUM(C221:AH221)</f>
        <v>0</v>
      </c>
    </row>
    <row r="222" spans="1:35" x14ac:dyDescent="0.25">
      <c r="A222">
        <v>213</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cm="1">
        <f t="array" ref="AI222">SUM(C222:AH222)</f>
        <v>0</v>
      </c>
    </row>
    <row r="223" spans="1:35" x14ac:dyDescent="0.25">
      <c r="A223">
        <v>214</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cm="1">
        <f t="array" ref="AI223">SUM(C223:AH223)</f>
        <v>0</v>
      </c>
    </row>
    <row r="224" spans="1:35" x14ac:dyDescent="0.25">
      <c r="A224">
        <v>215</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cm="1">
        <f t="array" ref="AI224">SUM(C224:AH224)</f>
        <v>0</v>
      </c>
    </row>
    <row r="225" spans="1:35" x14ac:dyDescent="0.25">
      <c r="A225">
        <v>216</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cm="1">
        <f t="array" ref="AI225">SUM(C225:AH225)</f>
        <v>0</v>
      </c>
    </row>
    <row r="226" spans="1:35" x14ac:dyDescent="0.25">
      <c r="A226">
        <v>217</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cm="1">
        <f t="array" ref="AI226">SUM(C226:AH226)</f>
        <v>0</v>
      </c>
    </row>
    <row r="227" spans="1:35" x14ac:dyDescent="0.25">
      <c r="A227">
        <v>218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cm="1">
        <f t="array" ref="AI227">SUM(C227:AH227)</f>
        <v>0</v>
      </c>
    </row>
    <row r="228" spans="1:35" x14ac:dyDescent="0.25">
      <c r="A228">
        <v>219</v>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cm="1">
        <f t="array" ref="AI228">SUM(C228:AH228)</f>
        <v>0</v>
      </c>
    </row>
    <row r="229" spans="1:35" x14ac:dyDescent="0.25">
      <c r="A229">
        <v>220</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cm="1">
        <f t="array" ref="AI229">SUM(C229:AH229)</f>
        <v>0</v>
      </c>
    </row>
    <row r="230" spans="1:35" x14ac:dyDescent="0.25">
      <c r="A230">
        <v>221</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cm="1">
        <f t="array" ref="AI230">SUM(C230:AH230)</f>
        <v>0</v>
      </c>
    </row>
    <row r="231" spans="1:35" x14ac:dyDescent="0.25">
      <c r="A231">
        <v>222</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cm="1">
        <f t="array" ref="AI231">SUM(C231:AH231)</f>
        <v>0</v>
      </c>
    </row>
    <row r="232" spans="1:35" x14ac:dyDescent="0.25">
      <c r="A232">
        <v>223</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cm="1">
        <f t="array" ref="AI232">SUM(C232:AH232)</f>
        <v>0</v>
      </c>
    </row>
    <row r="233" spans="1:35" x14ac:dyDescent="0.25">
      <c r="A233">
        <v>224</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cm="1">
        <f t="array" ref="AI233">SUM(C233:AH233)</f>
        <v>0</v>
      </c>
    </row>
    <row r="234" spans="1:35" x14ac:dyDescent="0.25">
      <c r="A234">
        <v>225</v>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cm="1">
        <f t="array" ref="AI234">SUM(C234:AH234)</f>
        <v>0</v>
      </c>
    </row>
    <row r="235" spans="1:35" x14ac:dyDescent="0.25">
      <c r="A235">
        <v>226</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cm="1">
        <f t="array" ref="AI235">SUM(C235:AH235)</f>
        <v>0</v>
      </c>
    </row>
    <row r="236" spans="1:35" x14ac:dyDescent="0.25">
      <c r="A236">
        <v>227</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cm="1">
        <f t="array" ref="AI236">SUM(C236:AH236)</f>
        <v>0</v>
      </c>
    </row>
    <row r="237" spans="1:35" x14ac:dyDescent="0.25">
      <c r="A237">
        <v>228</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cm="1">
        <f t="array" ref="AI237">SUM(C237:AH237)</f>
        <v>0</v>
      </c>
    </row>
    <row r="238" spans="1:35" x14ac:dyDescent="0.25">
      <c r="A238">
        <v>229</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cm="1">
        <f t="array" ref="AI238">SUM(C238:AH238)</f>
        <v>0</v>
      </c>
    </row>
    <row r="239" spans="1:35" x14ac:dyDescent="0.25">
      <c r="A239">
        <v>230</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cm="1">
        <f t="array" ref="AI239">SUM(C239:AH239)</f>
        <v>0</v>
      </c>
    </row>
    <row r="240" spans="1:35" x14ac:dyDescent="0.25">
      <c r="A240">
        <v>231</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cm="1">
        <f t="array" ref="AI240">SUM(C240:AH240)</f>
        <v>0</v>
      </c>
    </row>
    <row r="241" spans="1:35" x14ac:dyDescent="0.25">
      <c r="A241">
        <v>232</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cm="1">
        <f t="array" ref="AI241">SUM(C241:AH241)</f>
        <v>0</v>
      </c>
    </row>
    <row r="242" spans="1:35" x14ac:dyDescent="0.25">
      <c r="A242">
        <v>233</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cm="1">
        <f t="array" ref="AI242">SUM(C242:AH242)</f>
        <v>0</v>
      </c>
    </row>
    <row r="243" spans="1:35" x14ac:dyDescent="0.25">
      <c r="A243">
        <v>234</v>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cm="1">
        <f t="array" ref="AI243">SUM(C243:AH243)</f>
        <v>0</v>
      </c>
    </row>
    <row r="244" spans="1:35" x14ac:dyDescent="0.25">
      <c r="A244">
        <v>235</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cm="1">
        <f t="array" ref="AI244">SUM(C244:AH244)</f>
        <v>0</v>
      </c>
    </row>
    <row r="245" spans="1:35" x14ac:dyDescent="0.25">
      <c r="A245">
        <v>236</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cm="1">
        <f t="array" ref="AI245">SUM(C245:AH245)</f>
        <v>0</v>
      </c>
    </row>
    <row r="246" spans="1:35" x14ac:dyDescent="0.25">
      <c r="A246">
        <v>237</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cm="1">
        <f t="array" ref="AI246">SUM(C246:AH246)</f>
        <v>0</v>
      </c>
    </row>
    <row r="247" spans="1:35" x14ac:dyDescent="0.25">
      <c r="A247">
        <v>238</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cm="1">
        <f t="array" ref="AI247">SUM(C247:AH247)</f>
        <v>0</v>
      </c>
    </row>
    <row r="248" spans="1:35" x14ac:dyDescent="0.25">
      <c r="A248">
        <v>239</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cm="1">
        <f t="array" ref="AI248">SUM(C248:AH248)</f>
        <v>0</v>
      </c>
    </row>
    <row r="249" spans="1:35" x14ac:dyDescent="0.25">
      <c r="A249">
        <v>240</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cm="1">
        <f t="array" ref="AI249">SUM(C249:AH249)</f>
        <v>0</v>
      </c>
    </row>
    <row r="250" spans="1:35" x14ac:dyDescent="0.25">
      <c r="A250">
        <v>241</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cm="1">
        <f t="array" ref="AI250">SUM(C250:AH250)</f>
        <v>0</v>
      </c>
    </row>
    <row r="251" spans="1:35" x14ac:dyDescent="0.25">
      <c r="A251">
        <v>242</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cm="1">
        <f t="array" ref="AI251">SUM(C251:AH251)</f>
        <v>0</v>
      </c>
    </row>
    <row r="252" spans="1:35" x14ac:dyDescent="0.25">
      <c r="A252">
        <v>243</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cm="1">
        <f t="array" ref="AI252">SUM(C252:AH252)</f>
        <v>0</v>
      </c>
    </row>
    <row r="253" spans="1:35" x14ac:dyDescent="0.25">
      <c r="A253">
        <v>244</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cm="1">
        <f t="array" ref="AI253">SUM(C253:AH253)</f>
        <v>0</v>
      </c>
    </row>
    <row r="254" spans="1:35" x14ac:dyDescent="0.25">
      <c r="A254">
        <v>245</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cm="1">
        <f t="array" ref="AI254">SUM(C254:AH254)</f>
        <v>0</v>
      </c>
    </row>
    <row r="255" spans="1:35" x14ac:dyDescent="0.25">
      <c r="A255">
        <v>246</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cm="1">
        <f t="array" ref="AI255">SUM(C255:AH255)</f>
        <v>0</v>
      </c>
    </row>
    <row r="256" spans="1:35" x14ac:dyDescent="0.25">
      <c r="A256">
        <v>247</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cm="1">
        <f t="array" ref="AI256">SUM(C256:AH256)</f>
        <v>0</v>
      </c>
    </row>
    <row r="257" spans="1:35" x14ac:dyDescent="0.25">
      <c r="A257">
        <v>248</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cm="1">
        <f t="array" ref="AI257">SUM(C257:AH257)</f>
        <v>0</v>
      </c>
    </row>
    <row r="258" spans="1:35" x14ac:dyDescent="0.25">
      <c r="A258">
        <v>249</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cm="1">
        <f t="array" ref="AI258">SUM(C258:AH258)</f>
        <v>0</v>
      </c>
    </row>
    <row r="259" spans="1:35" x14ac:dyDescent="0.25">
      <c r="A259">
        <v>250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cm="1">
        <f t="array" ref="AI259">SUM(C259:AH259)</f>
        <v>0</v>
      </c>
    </row>
    <row r="260" spans="1:35" x14ac:dyDescent="0.25">
      <c r="A260">
        <v>251</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cm="1">
        <f t="array" ref="AI260">SUM(C260:AH260)</f>
        <v>0</v>
      </c>
    </row>
    <row r="261" spans="1:35" x14ac:dyDescent="0.25">
      <c r="A261">
        <v>252</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cm="1">
        <f t="array" ref="AI261">SUM(C261:AH261)</f>
        <v>0</v>
      </c>
    </row>
    <row r="262" spans="1:35" x14ac:dyDescent="0.25">
      <c r="A262">
        <v>253</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cm="1">
        <f t="array" ref="AI262">SUM(C262:AH262)</f>
        <v>0</v>
      </c>
    </row>
    <row r="263" spans="1:35" x14ac:dyDescent="0.25">
      <c r="A263">
        <v>254</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cm="1">
        <f t="array" ref="AI263">SUM(C263:AH263)</f>
        <v>0</v>
      </c>
    </row>
    <row r="264" spans="1:35" x14ac:dyDescent="0.25">
      <c r="A264">
        <v>255</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cm="1">
        <f t="array" ref="AI264">SUM(C264:AH264)</f>
        <v>0</v>
      </c>
    </row>
    <row r="265" spans="1:35" x14ac:dyDescent="0.25">
      <c r="A265">
        <v>256</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cm="1">
        <f t="array" ref="AI265">SUM(C265:AH265)</f>
        <v>0</v>
      </c>
    </row>
    <row r="266" spans="1:35" x14ac:dyDescent="0.25">
      <c r="A266">
        <v>257</v>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cm="1">
        <f t="array" ref="AI266">SUM(C266:AH266)</f>
        <v>0</v>
      </c>
    </row>
    <row r="267" spans="1:35" x14ac:dyDescent="0.25">
      <c r="A267">
        <v>258</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cm="1">
        <f t="array" ref="AI267">SUM(C267:AH267)</f>
        <v>0</v>
      </c>
    </row>
    <row r="268" spans="1:35" x14ac:dyDescent="0.25">
      <c r="A268">
        <v>259</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cm="1">
        <f t="array" ref="AI268">SUM(C268:AH268)</f>
        <v>0</v>
      </c>
    </row>
    <row r="269" spans="1:35" x14ac:dyDescent="0.25">
      <c r="A269">
        <v>260</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cm="1">
        <f t="array" ref="AI269">SUM(C269:AH269)</f>
        <v>0</v>
      </c>
    </row>
    <row r="270" spans="1:35" x14ac:dyDescent="0.25">
      <c r="A270">
        <v>261</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cm="1">
        <f t="array" ref="AI270">SUM(C270:AH270)</f>
        <v>0</v>
      </c>
    </row>
    <row r="271" spans="1:35" x14ac:dyDescent="0.25">
      <c r="A271">
        <v>262</v>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cm="1">
        <f t="array" ref="AI271">SUM(C271:AH271)</f>
        <v>0</v>
      </c>
    </row>
    <row r="272" spans="1:35" x14ac:dyDescent="0.25">
      <c r="A272">
        <v>263</v>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cm="1">
        <f t="array" ref="AI272">SUM(C272:AH272)</f>
        <v>0</v>
      </c>
    </row>
    <row r="273" spans="1:35" x14ac:dyDescent="0.25">
      <c r="A273">
        <v>264</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cm="1">
        <f t="array" ref="AI273">SUM(C273:AH273)</f>
        <v>0</v>
      </c>
    </row>
    <row r="274" spans="1:35" x14ac:dyDescent="0.25">
      <c r="A274">
        <v>265</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cm="1">
        <f t="array" ref="AI274">SUM(C274:AH274)</f>
        <v>0</v>
      </c>
    </row>
    <row r="275" spans="1:35" x14ac:dyDescent="0.25">
      <c r="A275">
        <v>266</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cm="1">
        <f t="array" ref="AI275">SUM(C275:AH275)</f>
        <v>0</v>
      </c>
    </row>
    <row r="276" spans="1:35" x14ac:dyDescent="0.25">
      <c r="A276">
        <v>267</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cm="1">
        <f t="array" ref="AI276">SUM(C276:AH276)</f>
        <v>0</v>
      </c>
    </row>
    <row r="277" spans="1:35" x14ac:dyDescent="0.25">
      <c r="A277">
        <v>268</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cm="1">
        <f t="array" ref="AI277">SUM(C277:AH277)</f>
        <v>0</v>
      </c>
    </row>
    <row r="278" spans="1:35" x14ac:dyDescent="0.25">
      <c r="A278">
        <v>269</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cm="1">
        <f t="array" ref="AI278">SUM(C278:AH278)</f>
        <v>0</v>
      </c>
    </row>
    <row r="279" spans="1:35" x14ac:dyDescent="0.25">
      <c r="A279">
        <v>270</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cm="1">
        <f t="array" ref="AI279">SUM(C279:AH279)</f>
        <v>0</v>
      </c>
    </row>
    <row r="280" spans="1:35" x14ac:dyDescent="0.25">
      <c r="A280">
        <v>271</v>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cm="1">
        <f t="array" ref="AI280">SUM(C280:AH280)</f>
        <v>0</v>
      </c>
    </row>
    <row r="281" spans="1:35" x14ac:dyDescent="0.25">
      <c r="A281">
        <v>272</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cm="1">
        <f t="array" ref="AI281">SUM(C281:AH281)</f>
        <v>0</v>
      </c>
    </row>
    <row r="282" spans="1:35" x14ac:dyDescent="0.25">
      <c r="A282">
        <v>273</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cm="1">
        <f t="array" ref="AI282">SUM(C282:AH282)</f>
        <v>0</v>
      </c>
    </row>
    <row r="283" spans="1:35" x14ac:dyDescent="0.25">
      <c r="A283">
        <v>274</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cm="1">
        <f t="array" ref="AI283">SUM(C283:AH283)</f>
        <v>0</v>
      </c>
    </row>
    <row r="284" spans="1:35" x14ac:dyDescent="0.25">
      <c r="A284">
        <v>275</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cm="1">
        <f t="array" ref="AI284">SUM(C284:AH284)</f>
        <v>0</v>
      </c>
    </row>
    <row r="285" spans="1:35" x14ac:dyDescent="0.25">
      <c r="A285">
        <v>276</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cm="1">
        <f t="array" ref="AI285">SUM(C285:AH285)</f>
        <v>0</v>
      </c>
    </row>
    <row r="286" spans="1:35" x14ac:dyDescent="0.25">
      <c r="A286">
        <v>277</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cm="1">
        <f t="array" ref="AI286">SUM(C286:AH286)</f>
        <v>0</v>
      </c>
    </row>
    <row r="287" spans="1:35" x14ac:dyDescent="0.25">
      <c r="A287">
        <v>278</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cm="1">
        <f t="array" ref="AI287">SUM(C287:AH287)</f>
        <v>0</v>
      </c>
    </row>
    <row r="288" spans="1:35" x14ac:dyDescent="0.25">
      <c r="A288">
        <v>279</v>
      </c>
      <c r="C288">
        <v>0</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cm="1">
        <f t="array" ref="AI288">SUM(C288:AH288)</f>
        <v>0</v>
      </c>
    </row>
    <row r="289" spans="1:35" x14ac:dyDescent="0.25">
      <c r="A289">
        <v>280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cm="1">
        <f t="array" ref="AI289">SUM(C289:AH289)</f>
        <v>0</v>
      </c>
    </row>
    <row r="290" spans="1:35" x14ac:dyDescent="0.25">
      <c r="A290">
        <v>281</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cm="1">
        <f t="array" ref="AI290">SUM(C290:AH290)</f>
        <v>0</v>
      </c>
    </row>
    <row r="291" spans="1:35" x14ac:dyDescent="0.25">
      <c r="A291">
        <v>282</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cm="1">
        <f t="array" ref="AI291">SUM(C291:AH291)</f>
        <v>0</v>
      </c>
    </row>
    <row r="292" spans="1:35" x14ac:dyDescent="0.25">
      <c r="A292">
        <v>283</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cm="1">
        <f t="array" ref="AI292">SUM(C292:AH292)</f>
        <v>0</v>
      </c>
    </row>
    <row r="293" spans="1:35" x14ac:dyDescent="0.25">
      <c r="A293">
        <v>284</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cm="1">
        <f t="array" ref="AI293">SUM(C293:AH293)</f>
        <v>0</v>
      </c>
    </row>
    <row r="294" spans="1:35" x14ac:dyDescent="0.25">
      <c r="A294">
        <v>285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cm="1">
        <f t="array" ref="AI294">SUM(C294:AH294)</f>
        <v>0</v>
      </c>
    </row>
    <row r="295" spans="1:35" x14ac:dyDescent="0.25">
      <c r="A295">
        <v>286</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cm="1">
        <f t="array" ref="AI295">SUM(C295:AH295)</f>
        <v>0</v>
      </c>
    </row>
    <row r="296" spans="1:35" x14ac:dyDescent="0.25">
      <c r="A296">
        <v>287</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cm="1">
        <f t="array" ref="AI296">SUM(C296:AH296)</f>
        <v>0</v>
      </c>
    </row>
    <row r="297" spans="1:35" x14ac:dyDescent="0.25">
      <c r="A297">
        <v>288</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cm="1">
        <f t="array" ref="AI297">SUM(C297:AH297)</f>
        <v>0</v>
      </c>
    </row>
    <row r="298" spans="1:35" x14ac:dyDescent="0.25">
      <c r="A298">
        <v>289</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cm="1">
        <f t="array" ref="AI298">SUM(C298:AH298)</f>
        <v>0</v>
      </c>
    </row>
    <row r="299" spans="1:35" x14ac:dyDescent="0.25">
      <c r="A299">
        <v>290</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cm="1">
        <f t="array" ref="AI299">SUM(C299:AH299)</f>
        <v>0</v>
      </c>
    </row>
    <row r="300" spans="1:35" x14ac:dyDescent="0.25">
      <c r="A300">
        <v>291</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cm="1">
        <f t="array" ref="AI300">SUM(C300:AH300)</f>
        <v>0</v>
      </c>
    </row>
    <row r="301" spans="1:35" x14ac:dyDescent="0.25">
      <c r="A301">
        <v>292</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cm="1">
        <f t="array" ref="AI301">SUM(C301:AH301)</f>
        <v>0</v>
      </c>
    </row>
    <row r="302" spans="1:35" x14ac:dyDescent="0.25">
      <c r="A302">
        <v>293</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cm="1">
        <f t="array" ref="AI302">SUM(C302:AH302)</f>
        <v>0</v>
      </c>
    </row>
    <row r="303" spans="1:35" x14ac:dyDescent="0.25">
      <c r="A303">
        <v>294</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cm="1">
        <f t="array" ref="AI303">SUM(C303:AH303)</f>
        <v>0</v>
      </c>
    </row>
    <row r="304" spans="1:35" x14ac:dyDescent="0.25">
      <c r="A304">
        <v>295</v>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cm="1">
        <f t="array" ref="AI304">SUM(C304:AH304)</f>
        <v>0</v>
      </c>
    </row>
    <row r="305" spans="1:35" x14ac:dyDescent="0.25">
      <c r="A305">
        <v>296</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cm="1">
        <f t="array" ref="AI305">SUM(C305:AH305)</f>
        <v>0</v>
      </c>
    </row>
    <row r="306" spans="1:35" x14ac:dyDescent="0.25">
      <c r="A306">
        <v>297</v>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cm="1">
        <f t="array" ref="AI306">SUM(C306:AH306)</f>
        <v>0</v>
      </c>
    </row>
    <row r="307" spans="1:35" x14ac:dyDescent="0.25">
      <c r="A307">
        <v>298</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cm="1">
        <f t="array" ref="AI307">SUM(C307:AH307)</f>
        <v>0</v>
      </c>
    </row>
    <row r="308" spans="1:35" x14ac:dyDescent="0.25">
      <c r="A308">
        <v>299</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cm="1">
        <f t="array" ref="AI308">SUM(C308:AH308)</f>
        <v>0</v>
      </c>
    </row>
    <row r="309" spans="1:35" x14ac:dyDescent="0.25">
      <c r="A309">
        <v>300</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cm="1">
        <f t="array" ref="AI309">SUM(C309:AH309)</f>
        <v>0</v>
      </c>
    </row>
    <row r="310" spans="1:35" x14ac:dyDescent="0.25">
      <c r="A310">
        <v>301</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cm="1">
        <f t="array" ref="AI310">SUM(C310:AH310)</f>
        <v>0</v>
      </c>
    </row>
    <row r="311" spans="1:35" x14ac:dyDescent="0.25">
      <c r="A311">
        <v>302</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cm="1">
        <f t="array" ref="AI311">SUM(C311:AH311)</f>
        <v>0</v>
      </c>
    </row>
    <row r="312" spans="1:35" x14ac:dyDescent="0.25">
      <c r="A312">
        <v>303</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cm="1">
        <f t="array" ref="AI312">SUM(C312:AH312)</f>
        <v>0</v>
      </c>
    </row>
    <row r="313" spans="1:35" x14ac:dyDescent="0.25">
      <c r="A313">
        <v>304</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cm="1">
        <f t="array" ref="AI313">SUM(C313:AH313)</f>
        <v>0</v>
      </c>
    </row>
    <row r="314" spans="1:35" x14ac:dyDescent="0.25">
      <c r="A314">
        <v>305</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cm="1">
        <f t="array" ref="AI314">SUM(C314:AH314)</f>
        <v>0</v>
      </c>
    </row>
    <row r="315" spans="1:35" x14ac:dyDescent="0.25">
      <c r="A315">
        <v>306</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cm="1">
        <f t="array" ref="AI315">SUM(C315:AH315)</f>
        <v>0</v>
      </c>
    </row>
    <row r="316" spans="1:35" x14ac:dyDescent="0.25">
      <c r="A316">
        <v>307</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cm="1">
        <f t="array" ref="AI316">SUM(C316:AH316)</f>
        <v>0</v>
      </c>
    </row>
    <row r="317" spans="1:35" x14ac:dyDescent="0.25">
      <c r="A317">
        <v>308</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cm="1">
        <f t="array" ref="AI317">SUM(C317:AH317)</f>
        <v>0</v>
      </c>
    </row>
    <row r="318" spans="1:35" x14ac:dyDescent="0.25">
      <c r="A318">
        <v>309</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cm="1">
        <f t="array" ref="AI318">SUM(C318:AH318)</f>
        <v>0</v>
      </c>
    </row>
    <row r="319" spans="1:35" x14ac:dyDescent="0.25">
      <c r="A319">
        <v>310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cm="1">
        <f t="array" ref="AI319">SUM(C319:AH319)</f>
        <v>0</v>
      </c>
    </row>
    <row r="320" spans="1:35" x14ac:dyDescent="0.25">
      <c r="A320">
        <v>311</v>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cm="1">
        <f t="array" ref="AI320">SUM(C320:AH320)</f>
        <v>0</v>
      </c>
    </row>
    <row r="321" spans="1:35" x14ac:dyDescent="0.25">
      <c r="A321">
        <v>312</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cm="1">
        <f t="array" ref="AI321">SUM(C321:AH321)</f>
        <v>0</v>
      </c>
    </row>
    <row r="322" spans="1:35" x14ac:dyDescent="0.25">
      <c r="A322">
        <v>313</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cm="1">
        <f t="array" ref="AI322">SUM(C322:AH322)</f>
        <v>0</v>
      </c>
    </row>
    <row r="323" spans="1:35" x14ac:dyDescent="0.25">
      <c r="A323">
        <v>314</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cm="1">
        <f t="array" ref="AI323">SUM(C323:AH323)</f>
        <v>0</v>
      </c>
    </row>
    <row r="324" spans="1:35" x14ac:dyDescent="0.25">
      <c r="A324">
        <v>315</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cm="1">
        <f t="array" ref="AI324">SUM(C324:AH324)</f>
        <v>0</v>
      </c>
    </row>
    <row r="325" spans="1:35" x14ac:dyDescent="0.25">
      <c r="A325">
        <v>316</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cm="1">
        <f t="array" ref="AI325">SUM(C325:AH325)</f>
        <v>0</v>
      </c>
    </row>
    <row r="326" spans="1:35" x14ac:dyDescent="0.25">
      <c r="A326">
        <v>317</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cm="1">
        <f t="array" ref="AI326">SUM(C326:AH326)</f>
        <v>0</v>
      </c>
    </row>
    <row r="327" spans="1:35" x14ac:dyDescent="0.25">
      <c r="A327">
        <v>318</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cm="1">
        <f t="array" ref="AI327">SUM(C327:AH327)</f>
        <v>0</v>
      </c>
    </row>
    <row r="328" spans="1:35" x14ac:dyDescent="0.25">
      <c r="A328">
        <v>319</v>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cm="1">
        <f t="array" ref="AI328">SUM(C328:AH328)</f>
        <v>0</v>
      </c>
    </row>
    <row r="329" spans="1:35" x14ac:dyDescent="0.25">
      <c r="A329">
        <v>320</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cm="1">
        <f t="array" ref="AI329">SUM(C329:AH329)</f>
        <v>0</v>
      </c>
    </row>
    <row r="330" spans="1:35" x14ac:dyDescent="0.25">
      <c r="A330">
        <v>321</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cm="1">
        <f t="array" ref="AI330">SUM(C330:AH330)</f>
        <v>0</v>
      </c>
    </row>
    <row r="331" spans="1:35" x14ac:dyDescent="0.25">
      <c r="A331">
        <v>322</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cm="1">
        <f t="array" ref="AI331">SUM(C331:AH331)</f>
        <v>0</v>
      </c>
    </row>
    <row r="332" spans="1:35" x14ac:dyDescent="0.25">
      <c r="A332">
        <v>323</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cm="1">
        <f t="array" ref="AI332">SUM(C332:AH332)</f>
        <v>0</v>
      </c>
    </row>
    <row r="333" spans="1:35" x14ac:dyDescent="0.25">
      <c r="A333">
        <v>324</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cm="1">
        <f t="array" ref="AI333">SUM(C333:AH333)</f>
        <v>0</v>
      </c>
    </row>
    <row r="334" spans="1:35" x14ac:dyDescent="0.25">
      <c r="A334">
        <v>325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cm="1">
        <f t="array" ref="AI334">SUM(C334:AH334)</f>
        <v>0</v>
      </c>
    </row>
    <row r="335" spans="1:35" x14ac:dyDescent="0.25">
      <c r="A335">
        <v>326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cm="1">
        <f t="array" ref="AI335">SUM(C335:AH335)</f>
        <v>0</v>
      </c>
    </row>
    <row r="336" spans="1:35" x14ac:dyDescent="0.25">
      <c r="A336">
        <v>327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cm="1">
        <f t="array" ref="AI336">SUM(C336:AH336)</f>
        <v>0</v>
      </c>
    </row>
    <row r="337" spans="1:35" x14ac:dyDescent="0.25">
      <c r="A337">
        <v>328</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cm="1">
        <f t="array" ref="AI337">SUM(C337:AH337)</f>
        <v>0</v>
      </c>
    </row>
    <row r="338" spans="1:35" x14ac:dyDescent="0.25">
      <c r="A338">
        <v>329</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cm="1">
        <f t="array" ref="AI338">SUM(C338:AH338)</f>
        <v>0</v>
      </c>
    </row>
    <row r="339" spans="1:35" x14ac:dyDescent="0.25">
      <c r="A339">
        <v>330</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cm="1">
        <f t="array" ref="AI339">SUM(C339:AH339)</f>
        <v>0</v>
      </c>
    </row>
    <row r="340" spans="1:35" x14ac:dyDescent="0.25">
      <c r="A340">
        <v>331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cm="1">
        <f t="array" ref="AI340">SUM(C340:AH340)</f>
        <v>0</v>
      </c>
    </row>
    <row r="341" spans="1:35" x14ac:dyDescent="0.25">
      <c r="A341">
        <v>332</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cm="1">
        <f t="array" ref="AI341">SUM(C341:AH341)</f>
        <v>0</v>
      </c>
    </row>
    <row r="342" spans="1:35" x14ac:dyDescent="0.25">
      <c r="A342">
        <v>333</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cm="1">
        <f t="array" ref="AI342">SUM(C342:AH342)</f>
        <v>0</v>
      </c>
    </row>
    <row r="343" spans="1:35" x14ac:dyDescent="0.25">
      <c r="A343">
        <v>334</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cm="1">
        <f t="array" ref="AI343">SUM(C343:AH343)</f>
        <v>0</v>
      </c>
    </row>
    <row r="344" spans="1:35" x14ac:dyDescent="0.25">
      <c r="A344">
        <v>335</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cm="1">
        <f t="array" ref="AI344">SUM(C344:AH344)</f>
        <v>0</v>
      </c>
    </row>
    <row r="345" spans="1:35" x14ac:dyDescent="0.25">
      <c r="A345">
        <v>336</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cm="1">
        <f t="array" ref="AI345">SUM(C345:AH345)</f>
        <v>0</v>
      </c>
    </row>
    <row r="346" spans="1:35" x14ac:dyDescent="0.25">
      <c r="A346">
        <v>337</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cm="1">
        <f t="array" ref="AI346">SUM(C346:AH346)</f>
        <v>0</v>
      </c>
    </row>
    <row r="347" spans="1:35" x14ac:dyDescent="0.25">
      <c r="A347">
        <v>338</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cm="1">
        <f t="array" ref="AI347">SUM(C347:AH347)</f>
        <v>0</v>
      </c>
    </row>
    <row r="348" spans="1:35" x14ac:dyDescent="0.25">
      <c r="A348">
        <v>339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cm="1">
        <f t="array" ref="AI348">SUM(C348:AH348)</f>
        <v>0</v>
      </c>
    </row>
    <row r="349" spans="1:35" x14ac:dyDescent="0.25">
      <c r="A349">
        <v>340</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cm="1">
        <f t="array" ref="AI349">SUM(C349:AH349)</f>
        <v>0</v>
      </c>
    </row>
    <row r="350" spans="1:35" x14ac:dyDescent="0.25">
      <c r="A350">
        <v>341</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cm="1">
        <f t="array" ref="AI350">SUM(C350:AH350)</f>
        <v>0</v>
      </c>
    </row>
    <row r="351" spans="1:35" x14ac:dyDescent="0.25">
      <c r="A351">
        <v>342</v>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cm="1">
        <f t="array" ref="AI351">SUM(C351:AH351)</f>
        <v>0</v>
      </c>
    </row>
    <row r="352" spans="1:35" x14ac:dyDescent="0.25">
      <c r="A352">
        <v>343</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cm="1">
        <f t="array" ref="AI352">SUM(C352:AH352)</f>
        <v>0</v>
      </c>
    </row>
    <row r="353" spans="1:35" x14ac:dyDescent="0.25">
      <c r="A353">
        <v>344</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cm="1">
        <f t="array" ref="AI353">SUM(C353:AH353)</f>
        <v>0</v>
      </c>
    </row>
    <row r="354" spans="1:35" x14ac:dyDescent="0.25">
      <c r="A354">
        <v>345</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cm="1">
        <f t="array" ref="AI354">SUM(C354:AH354)</f>
        <v>0</v>
      </c>
    </row>
    <row r="355" spans="1:35" x14ac:dyDescent="0.25">
      <c r="A355">
        <v>346</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cm="1">
        <f t="array" ref="AI355">SUM(C355:AH355)</f>
        <v>0</v>
      </c>
    </row>
    <row r="356" spans="1:35" x14ac:dyDescent="0.25">
      <c r="A356">
        <v>347</v>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cm="1">
        <f t="array" ref="AI356">SUM(C356:AH356)</f>
        <v>0</v>
      </c>
    </row>
    <row r="357" spans="1:35" x14ac:dyDescent="0.25">
      <c r="A357">
        <v>348</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cm="1">
        <f t="array" ref="AI357">SUM(C357:AH357)</f>
        <v>0</v>
      </c>
    </row>
    <row r="358" spans="1:35" x14ac:dyDescent="0.25">
      <c r="A358">
        <v>349</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cm="1">
        <f t="array" ref="AI358">SUM(C358:AH358)</f>
        <v>0</v>
      </c>
    </row>
    <row r="359" spans="1:35" x14ac:dyDescent="0.25">
      <c r="A359">
        <v>350</v>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cm="1">
        <f t="array" ref="AI359">SUM(C359:AH359)</f>
        <v>0</v>
      </c>
    </row>
    <row r="360" spans="1:35" x14ac:dyDescent="0.25">
      <c r="A360">
        <v>351</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cm="1">
        <f t="array" ref="AI360">SUM(C360:AH360)</f>
        <v>0</v>
      </c>
    </row>
    <row r="361" spans="1:35" x14ac:dyDescent="0.25">
      <c r="A361">
        <v>352</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cm="1">
        <f t="array" ref="AI361">SUM(C361:AH361)</f>
        <v>0</v>
      </c>
    </row>
    <row r="362" spans="1:35" x14ac:dyDescent="0.25">
      <c r="A362">
        <v>353</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cm="1">
        <f t="array" ref="AI362">SUM(C362:AH362)</f>
        <v>0</v>
      </c>
    </row>
    <row r="363" spans="1:35" x14ac:dyDescent="0.25">
      <c r="A363">
        <v>354</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cm="1">
        <f t="array" ref="AI363">SUM(C363:AH363)</f>
        <v>0</v>
      </c>
    </row>
    <row r="364" spans="1:35" x14ac:dyDescent="0.25">
      <c r="A364">
        <v>355</v>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cm="1">
        <f t="array" ref="AI364">SUM(C364:AH364)</f>
        <v>0</v>
      </c>
    </row>
    <row r="365" spans="1:35" x14ac:dyDescent="0.25">
      <c r="A365">
        <v>356</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cm="1">
        <f t="array" ref="AI365">SUM(C365:AH365)</f>
        <v>0</v>
      </c>
    </row>
    <row r="366" spans="1:35" x14ac:dyDescent="0.25">
      <c r="A366">
        <v>357</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cm="1">
        <f t="array" ref="AI366">SUM(C366:AH366)</f>
        <v>0</v>
      </c>
    </row>
    <row r="367" spans="1:35" x14ac:dyDescent="0.25">
      <c r="A367">
        <v>358</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cm="1">
        <f t="array" ref="AI367">SUM(C367:AH367)</f>
        <v>0</v>
      </c>
    </row>
    <row r="368" spans="1:35" x14ac:dyDescent="0.25">
      <c r="A368">
        <v>359</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cm="1">
        <f t="array" ref="AI368">SUM(C368:AH368)</f>
        <v>0</v>
      </c>
    </row>
    <row r="369" spans="1:35" x14ac:dyDescent="0.25">
      <c r="A369">
        <v>360</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cm="1">
        <f t="array" ref="AI369">SUM(C369:AH369)</f>
        <v>0</v>
      </c>
    </row>
    <row r="370" spans="1:35" x14ac:dyDescent="0.25">
      <c r="A370">
        <v>361</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cm="1">
        <f t="array" ref="AI370">SUM(C370:AH370)</f>
        <v>0</v>
      </c>
    </row>
    <row r="371" spans="1:35" x14ac:dyDescent="0.25">
      <c r="A371">
        <v>362</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cm="1">
        <f t="array" ref="AI371">SUM(C371:AH371)</f>
        <v>0</v>
      </c>
    </row>
    <row r="372" spans="1:35" x14ac:dyDescent="0.25">
      <c r="A372">
        <v>363</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cm="1">
        <f t="array" ref="AI372">SUM(C372:AH372)</f>
        <v>0</v>
      </c>
    </row>
    <row r="373" spans="1:35" x14ac:dyDescent="0.25">
      <c r="A373">
        <v>364</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cm="1">
        <f t="array" ref="AI373">SUM(C373:AH373)</f>
        <v>0</v>
      </c>
    </row>
    <row r="374" spans="1:35" x14ac:dyDescent="0.25">
      <c r="A374">
        <v>365</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cm="1">
        <f t="array" ref="AI374">SUM(C374:AH374)</f>
        <v>0</v>
      </c>
    </row>
    <row r="375" spans="1:35" x14ac:dyDescent="0.25">
      <c r="A375">
        <v>366</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cm="1">
        <f t="array" ref="AI375">SUM(C375:AH375)</f>
        <v>0</v>
      </c>
    </row>
    <row r="376" spans="1:35" x14ac:dyDescent="0.25">
      <c r="A376">
        <v>367</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cm="1">
        <f t="array" ref="AI376">SUM(C376:AH376)</f>
        <v>0</v>
      </c>
    </row>
    <row r="377" spans="1:35" x14ac:dyDescent="0.25">
      <c r="A377">
        <v>368</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cm="1">
        <f t="array" ref="AI377">SUM(C377:AH377)</f>
        <v>0</v>
      </c>
    </row>
    <row r="378" spans="1:35" x14ac:dyDescent="0.25">
      <c r="A378">
        <v>369</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cm="1">
        <f t="array" ref="AI378">SUM(C378:AH378)</f>
        <v>0</v>
      </c>
    </row>
    <row r="379" spans="1:35" x14ac:dyDescent="0.25">
      <c r="A379">
        <v>370</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cm="1">
        <f t="array" ref="AI379">SUM(C379:AH379)</f>
        <v>0</v>
      </c>
    </row>
    <row r="380" spans="1:35" x14ac:dyDescent="0.25">
      <c r="A380">
        <v>371</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cm="1">
        <f t="array" ref="AI380">SUM(C380:AH380)</f>
        <v>0</v>
      </c>
    </row>
    <row r="381" spans="1:35" x14ac:dyDescent="0.25">
      <c r="A381">
        <v>372</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cm="1">
        <f t="array" ref="AI381">SUM(C381:AH381)</f>
        <v>0</v>
      </c>
    </row>
    <row r="382" spans="1:35" x14ac:dyDescent="0.25">
      <c r="A382">
        <v>373</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cm="1">
        <f t="array" ref="AI382">SUM(C382:AH382)</f>
        <v>0</v>
      </c>
    </row>
    <row r="383" spans="1:35" x14ac:dyDescent="0.25">
      <c r="A383">
        <v>374</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cm="1">
        <f t="array" ref="AI383">SUM(C383:AH383)</f>
        <v>0</v>
      </c>
    </row>
    <row r="384" spans="1:35" x14ac:dyDescent="0.25">
      <c r="A384">
        <v>375</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cm="1">
        <f t="array" ref="AI384">SUM(C384:AH384)</f>
        <v>0</v>
      </c>
    </row>
    <row r="385" spans="1:35" x14ac:dyDescent="0.25">
      <c r="A385">
        <v>376</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cm="1">
        <f t="array" ref="AI385">SUM(C385:AH385)</f>
        <v>0</v>
      </c>
    </row>
    <row r="386" spans="1:35" x14ac:dyDescent="0.25">
      <c r="A386">
        <v>377</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cm="1">
        <f t="array" ref="AI386">SUM(C386:AH386)</f>
        <v>0</v>
      </c>
    </row>
    <row r="387" spans="1:35" x14ac:dyDescent="0.25">
      <c r="A387">
        <v>378</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cm="1">
        <f t="array" ref="AI387">SUM(C387:AH387)</f>
        <v>0</v>
      </c>
    </row>
    <row r="388" spans="1:35" x14ac:dyDescent="0.25">
      <c r="A388">
        <v>379</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cm="1">
        <f t="array" ref="AI388">SUM(C388:AH388)</f>
        <v>0</v>
      </c>
    </row>
    <row r="389" spans="1:35" x14ac:dyDescent="0.25">
      <c r="A389">
        <v>380</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cm="1">
        <f t="array" ref="AI389">SUM(C389:AH389)</f>
        <v>0</v>
      </c>
    </row>
    <row r="390" spans="1:35" x14ac:dyDescent="0.25">
      <c r="A390">
        <v>381</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cm="1">
        <f t="array" ref="AI390">SUM(C390:AH390)</f>
        <v>0</v>
      </c>
    </row>
    <row r="391" spans="1:35" x14ac:dyDescent="0.25">
      <c r="A391">
        <v>382</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cm="1">
        <f t="array" ref="AI391">SUM(C391:AH391)</f>
        <v>0</v>
      </c>
    </row>
    <row r="392" spans="1:35" x14ac:dyDescent="0.25">
      <c r="A392">
        <v>383</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cm="1">
        <f t="array" ref="AI392">SUM(C392:AH392)</f>
        <v>0</v>
      </c>
    </row>
    <row r="393" spans="1:35" x14ac:dyDescent="0.25">
      <c r="A393">
        <v>384</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cm="1">
        <f t="array" ref="AI393">SUM(C393:AH393)</f>
        <v>0</v>
      </c>
    </row>
    <row r="394" spans="1:35" x14ac:dyDescent="0.25">
      <c r="A394">
        <v>385</v>
      </c>
      <c r="C394">
        <v>0</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cm="1">
        <f t="array" ref="AI394">SUM(C394:AH394)</f>
        <v>0</v>
      </c>
    </row>
    <row r="395" spans="1:35" x14ac:dyDescent="0.25">
      <c r="A395">
        <v>386</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cm="1">
        <f t="array" ref="AI395">SUM(C395:AH395)</f>
        <v>0</v>
      </c>
    </row>
    <row r="396" spans="1:35" x14ac:dyDescent="0.25">
      <c r="A396">
        <v>387</v>
      </c>
      <c r="C396">
        <v>0</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cm="1">
        <f t="array" ref="AI396">SUM(C396:AH396)</f>
        <v>0</v>
      </c>
    </row>
    <row r="397" spans="1:35" x14ac:dyDescent="0.25">
      <c r="A397">
        <v>388</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cm="1">
        <f t="array" ref="AI397">SUM(C397:AH397)</f>
        <v>0</v>
      </c>
    </row>
    <row r="398" spans="1:35" x14ac:dyDescent="0.25">
      <c r="A398">
        <v>389</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cm="1">
        <f t="array" ref="AI398">SUM(C398:AH398)</f>
        <v>0</v>
      </c>
    </row>
    <row r="399" spans="1:35" x14ac:dyDescent="0.25">
      <c r="A399">
        <v>390</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cm="1">
        <f t="array" ref="AI399">SUM(C399:AH399)</f>
        <v>0</v>
      </c>
    </row>
    <row r="400" spans="1:35" x14ac:dyDescent="0.25">
      <c r="A400">
        <v>391</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cm="1">
        <f t="array" ref="AI400">SUM(C400:AH400)</f>
        <v>0</v>
      </c>
    </row>
    <row r="401" spans="1:35" x14ac:dyDescent="0.25">
      <c r="A401">
        <v>392</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cm="1">
        <f t="array" ref="AI401">SUM(C401:AH401)</f>
        <v>0</v>
      </c>
    </row>
    <row r="402" spans="1:35" x14ac:dyDescent="0.25">
      <c r="A402">
        <v>393</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cm="1">
        <f t="array" ref="AI402">SUM(C402:AH402)</f>
        <v>0</v>
      </c>
    </row>
    <row r="403" spans="1:35" x14ac:dyDescent="0.25">
      <c r="A403">
        <v>394</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cm="1">
        <f t="array" ref="AI403">SUM(C403:AH403)</f>
        <v>0</v>
      </c>
    </row>
    <row r="404" spans="1:35" x14ac:dyDescent="0.25">
      <c r="A404">
        <v>395</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cm="1">
        <f t="array" ref="AI404">SUM(C404:AH404)</f>
        <v>0</v>
      </c>
    </row>
    <row r="405" spans="1:35" x14ac:dyDescent="0.25">
      <c r="A405">
        <v>396</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cm="1">
        <f t="array" ref="AI405">SUM(C405:AH405)</f>
        <v>0</v>
      </c>
    </row>
    <row r="406" spans="1:35" x14ac:dyDescent="0.25">
      <c r="A406">
        <v>397</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cm="1">
        <f t="array" ref="AI406">SUM(C406:AH406)</f>
        <v>0</v>
      </c>
    </row>
    <row r="407" spans="1:35" x14ac:dyDescent="0.25">
      <c r="A407">
        <v>398</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cm="1">
        <f t="array" ref="AI407">SUM(C407:AH407)</f>
        <v>0</v>
      </c>
    </row>
    <row r="408" spans="1:35" x14ac:dyDescent="0.25">
      <c r="A408">
        <v>399</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cm="1">
        <f t="array" ref="AI408">SUM(C408:AH408)</f>
        <v>0</v>
      </c>
    </row>
    <row r="409" spans="1:35" x14ac:dyDescent="0.25">
      <c r="A409">
        <v>400</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cm="1">
        <f t="array" ref="AI409">SUM(C409:AH409)</f>
        <v>0</v>
      </c>
    </row>
    <row r="410" spans="1:35" x14ac:dyDescent="0.25">
      <c r="A410">
        <v>401</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cm="1">
        <f t="array" ref="AI410">SUM(C410:AH410)</f>
        <v>0</v>
      </c>
    </row>
    <row r="411" spans="1:35" x14ac:dyDescent="0.25">
      <c r="A411">
        <v>402</v>
      </c>
      <c r="C411">
        <v>0</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cm="1">
        <f t="array" ref="AI411">SUM(C411:AH411)</f>
        <v>0</v>
      </c>
    </row>
    <row r="412" spans="1:35" x14ac:dyDescent="0.25">
      <c r="A412">
        <v>403</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cm="1">
        <f t="array" ref="AI412">SUM(C412:AH412)</f>
        <v>0</v>
      </c>
    </row>
    <row r="413" spans="1:35" x14ac:dyDescent="0.25">
      <c r="A413">
        <v>404</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cm="1">
        <f t="array" ref="AI413">SUM(C413:AH413)</f>
        <v>0</v>
      </c>
    </row>
    <row r="414" spans="1:35" x14ac:dyDescent="0.25">
      <c r="A414">
        <v>405</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cm="1">
        <f t="array" ref="AI414">SUM(C414:AH414)</f>
        <v>0</v>
      </c>
    </row>
    <row r="415" spans="1:35" x14ac:dyDescent="0.25">
      <c r="A415">
        <v>406</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cm="1">
        <f t="array" ref="AI415">SUM(C415:AH415)</f>
        <v>0</v>
      </c>
    </row>
    <row r="416" spans="1:35" x14ac:dyDescent="0.25">
      <c r="A416">
        <v>407</v>
      </c>
      <c r="C416">
        <v>0</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cm="1">
        <f t="array" ref="AI416">SUM(C416:AH416)</f>
        <v>0</v>
      </c>
    </row>
    <row r="417" spans="1:35" x14ac:dyDescent="0.25">
      <c r="A417">
        <v>408</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cm="1">
        <f t="array" ref="AI417">SUM(C417:AH417)</f>
        <v>0</v>
      </c>
    </row>
    <row r="418" spans="1:35" x14ac:dyDescent="0.25">
      <c r="A418">
        <v>409</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cm="1">
        <f t="array" ref="AI418">SUM(C418:AH418)</f>
        <v>0</v>
      </c>
    </row>
    <row r="419" spans="1:35" x14ac:dyDescent="0.25">
      <c r="A419">
        <v>410</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cm="1">
        <f t="array" ref="AI419">SUM(C419:AH419)</f>
        <v>0</v>
      </c>
    </row>
    <row r="420" spans="1:35" x14ac:dyDescent="0.25">
      <c r="A420">
        <v>411</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cm="1">
        <f t="array" ref="AI420">SUM(C420:AH420)</f>
        <v>0</v>
      </c>
    </row>
    <row r="421" spans="1:35" x14ac:dyDescent="0.25">
      <c r="A421">
        <v>412</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cm="1">
        <f t="array" ref="AI421">SUM(C421:AH421)</f>
        <v>0</v>
      </c>
    </row>
    <row r="422" spans="1:35" x14ac:dyDescent="0.25">
      <c r="A422">
        <v>413</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cm="1">
        <f t="array" ref="AI422">SUM(C422:AH422)</f>
        <v>0</v>
      </c>
    </row>
    <row r="423" spans="1:35" x14ac:dyDescent="0.25">
      <c r="A423">
        <v>414</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cm="1">
        <f t="array" ref="AI423">SUM(C423:AH423)</f>
        <v>0</v>
      </c>
    </row>
    <row r="424" spans="1:35" x14ac:dyDescent="0.25">
      <c r="A424">
        <v>415</v>
      </c>
      <c r="C424">
        <v>0</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cm="1">
        <f t="array" ref="AI424">SUM(C424:AH424)</f>
        <v>0</v>
      </c>
    </row>
    <row r="425" spans="1:35" x14ac:dyDescent="0.25">
      <c r="A425">
        <v>416</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cm="1">
        <f t="array" ref="AI425">SUM(C425:AH425)</f>
        <v>0</v>
      </c>
    </row>
    <row r="426" spans="1:35" x14ac:dyDescent="0.25">
      <c r="A426">
        <v>417</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cm="1">
        <f t="array" ref="AI426">SUM(C426:AH426)</f>
        <v>0</v>
      </c>
    </row>
    <row r="427" spans="1:35" x14ac:dyDescent="0.25">
      <c r="A427">
        <v>418</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cm="1">
        <f t="array" ref="AI427">SUM(C427:AH427)</f>
        <v>0</v>
      </c>
    </row>
    <row r="428" spans="1:35" x14ac:dyDescent="0.25">
      <c r="A428">
        <v>419</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cm="1">
        <f t="array" ref="AI428">SUM(C428:AH428)</f>
        <v>0</v>
      </c>
    </row>
    <row r="429" spans="1:35" x14ac:dyDescent="0.25">
      <c r="A429">
        <v>420</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cm="1">
        <f t="array" ref="AI429">SUM(C429:AH429)</f>
        <v>0</v>
      </c>
    </row>
    <row r="430" spans="1:35" x14ac:dyDescent="0.25">
      <c r="A430">
        <v>421</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cm="1">
        <f t="array" ref="AI430">SUM(C430:AH430)</f>
        <v>0</v>
      </c>
    </row>
    <row r="431" spans="1:35" x14ac:dyDescent="0.25">
      <c r="A431">
        <v>422</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cm="1">
        <f t="array" ref="AI431">SUM(C431:AH431)</f>
        <v>0</v>
      </c>
    </row>
    <row r="432" spans="1:35" x14ac:dyDescent="0.25">
      <c r="A432">
        <v>423</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cm="1">
        <f t="array" ref="AI432">SUM(C432:AH432)</f>
        <v>0</v>
      </c>
    </row>
    <row r="433" spans="1:35" x14ac:dyDescent="0.25">
      <c r="A433">
        <v>424</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cm="1">
        <f t="array" ref="AI433">SUM(C433:AH433)</f>
        <v>0</v>
      </c>
    </row>
    <row r="434" spans="1:35" x14ac:dyDescent="0.25">
      <c r="A434">
        <v>425</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cm="1">
        <f t="array" ref="AI434">SUM(C434:AH434)</f>
        <v>0</v>
      </c>
    </row>
    <row r="435" spans="1:35" x14ac:dyDescent="0.25">
      <c r="A435">
        <v>426</v>
      </c>
      <c r="C435">
        <v>0</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cm="1">
        <f t="array" ref="AI435">SUM(C435:AH435)</f>
        <v>0</v>
      </c>
    </row>
    <row r="436" spans="1:35" x14ac:dyDescent="0.25">
      <c r="A436">
        <v>427</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cm="1">
        <f t="array" ref="AI436">SUM(C436:AH436)</f>
        <v>0</v>
      </c>
    </row>
    <row r="437" spans="1:35" x14ac:dyDescent="0.25">
      <c r="A437">
        <v>428</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cm="1">
        <f t="array" ref="AI437">SUM(C437:AH437)</f>
        <v>0</v>
      </c>
    </row>
    <row r="438" spans="1:35" x14ac:dyDescent="0.25">
      <c r="A438">
        <v>429</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cm="1">
        <f t="array" ref="AI438">SUM(C438:AH438)</f>
        <v>0</v>
      </c>
    </row>
    <row r="439" spans="1:35" x14ac:dyDescent="0.25">
      <c r="A439">
        <v>430</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cm="1">
        <f t="array" ref="AI439">SUM(C439:AH439)</f>
        <v>0</v>
      </c>
    </row>
    <row r="440" spans="1:35" x14ac:dyDescent="0.25">
      <c r="A440">
        <v>431</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cm="1">
        <f t="array" ref="AI440">SUM(C440:AH440)</f>
        <v>0</v>
      </c>
    </row>
    <row r="441" spans="1:35" x14ac:dyDescent="0.25">
      <c r="A441">
        <v>432</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cm="1">
        <f t="array" ref="AI441">SUM(C441:AH441)</f>
        <v>0</v>
      </c>
    </row>
    <row r="442" spans="1:35" x14ac:dyDescent="0.25">
      <c r="A442">
        <v>433</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cm="1">
        <f t="array" ref="AI442">SUM(C442:AH442)</f>
        <v>0</v>
      </c>
    </row>
    <row r="443" spans="1:35" x14ac:dyDescent="0.25">
      <c r="A443">
        <v>434</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cm="1">
        <f t="array" ref="AI443">SUM(C443:AH443)</f>
        <v>0</v>
      </c>
    </row>
    <row r="444" spans="1:35" x14ac:dyDescent="0.25">
      <c r="A444">
        <v>435</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cm="1">
        <f t="array" ref="AI444">SUM(C444:AH444)</f>
        <v>0</v>
      </c>
    </row>
    <row r="445" spans="1:35" x14ac:dyDescent="0.25">
      <c r="A445">
        <v>436</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cm="1">
        <f t="array" ref="AI445">SUM(C445:AH445)</f>
        <v>0</v>
      </c>
    </row>
    <row r="446" spans="1:35" x14ac:dyDescent="0.25">
      <c r="A446">
        <v>437</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cm="1">
        <f t="array" ref="AI446">SUM(C446:AH446)</f>
        <v>0</v>
      </c>
    </row>
    <row r="447" spans="1:35" x14ac:dyDescent="0.25">
      <c r="A447">
        <v>438</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cm="1">
        <f t="array" ref="AI447">SUM(C447:AH447)</f>
        <v>0</v>
      </c>
    </row>
    <row r="448" spans="1:35" x14ac:dyDescent="0.25">
      <c r="A448">
        <v>439</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cm="1">
        <f t="array" ref="AI448">SUM(C448:AH448)</f>
        <v>0</v>
      </c>
    </row>
    <row r="449" spans="1:35" x14ac:dyDescent="0.25">
      <c r="A449">
        <v>440</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cm="1">
        <f t="array" ref="AI449">SUM(C449:AH449)</f>
        <v>0</v>
      </c>
    </row>
    <row r="450" spans="1:35" x14ac:dyDescent="0.25">
      <c r="A450">
        <v>441</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cm="1">
        <f t="array" ref="AI450">SUM(C450:AH450)</f>
        <v>0</v>
      </c>
    </row>
    <row r="451" spans="1:35" x14ac:dyDescent="0.25">
      <c r="A451">
        <v>442</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cm="1">
        <f t="array" ref="AI451">SUM(C451:AH451)</f>
        <v>0</v>
      </c>
    </row>
    <row r="452" spans="1:35" x14ac:dyDescent="0.25">
      <c r="A452">
        <v>443</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cm="1">
        <f t="array" ref="AI452">SUM(C452:AH452)</f>
        <v>0</v>
      </c>
    </row>
    <row r="453" spans="1:35" x14ac:dyDescent="0.25">
      <c r="A453">
        <v>444</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cm="1">
        <f t="array" ref="AI453">SUM(C453:AH453)</f>
        <v>0</v>
      </c>
    </row>
    <row r="454" spans="1:35" x14ac:dyDescent="0.25">
      <c r="A454">
        <v>445</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cm="1">
        <f t="array" ref="AI454">SUM(C454:AH454)</f>
        <v>0</v>
      </c>
    </row>
    <row r="455" spans="1:35" x14ac:dyDescent="0.25">
      <c r="A455">
        <v>446</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cm="1">
        <f t="array" ref="AI455">SUM(C455:AH455)</f>
        <v>0</v>
      </c>
    </row>
    <row r="456" spans="1:35" x14ac:dyDescent="0.25">
      <c r="A456">
        <v>447</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cm="1">
        <f t="array" ref="AI456">SUM(C456:AH456)</f>
        <v>0</v>
      </c>
    </row>
    <row r="457" spans="1:35" x14ac:dyDescent="0.25">
      <c r="A457">
        <v>448</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cm="1">
        <f t="array" ref="AI457">SUM(C457:AH457)</f>
        <v>0</v>
      </c>
    </row>
    <row r="458" spans="1:35" x14ac:dyDescent="0.25">
      <c r="A458">
        <v>449</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cm="1">
        <f t="array" ref="AI458">SUM(C458:AH458)</f>
        <v>0</v>
      </c>
    </row>
    <row r="459" spans="1:35" x14ac:dyDescent="0.25">
      <c r="A459">
        <v>450</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cm="1">
        <f t="array" ref="AI459">SUM(C459:AH459)</f>
        <v>0</v>
      </c>
    </row>
    <row r="460" spans="1:35" x14ac:dyDescent="0.25">
      <c r="A460">
        <v>451</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cm="1">
        <f t="array" ref="AI460">SUM(C460:AH460)</f>
        <v>0</v>
      </c>
    </row>
    <row r="461" spans="1:35" x14ac:dyDescent="0.25">
      <c r="A461">
        <v>452</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cm="1">
        <f t="array" ref="AI461">SUM(C461:AH461)</f>
        <v>0</v>
      </c>
    </row>
    <row r="462" spans="1:35" x14ac:dyDescent="0.25">
      <c r="A462">
        <v>453</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cm="1">
        <f t="array" ref="AI462">SUM(C462:AH462)</f>
        <v>0</v>
      </c>
    </row>
    <row r="463" spans="1:35" x14ac:dyDescent="0.25">
      <c r="A463">
        <v>454</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cm="1">
        <f t="array" ref="AI463">SUM(C463:AH463)</f>
        <v>0</v>
      </c>
    </row>
    <row r="464" spans="1:35" x14ac:dyDescent="0.25">
      <c r="A464">
        <v>455</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cm="1">
        <f t="array" ref="AI464">SUM(C464:AH464)</f>
        <v>0</v>
      </c>
    </row>
    <row r="465" spans="1:35" x14ac:dyDescent="0.25">
      <c r="A465">
        <v>456</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cm="1">
        <f t="array" ref="AI465">SUM(C465:AH465)</f>
        <v>0</v>
      </c>
    </row>
    <row r="466" spans="1:35" x14ac:dyDescent="0.25">
      <c r="A466">
        <v>457</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cm="1">
        <f t="array" ref="AI466">SUM(C466:AH466)</f>
        <v>0</v>
      </c>
    </row>
    <row r="467" spans="1:35" x14ac:dyDescent="0.25">
      <c r="A467">
        <v>458</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cm="1">
        <f t="array" ref="AI467">SUM(C467:AH467)</f>
        <v>0</v>
      </c>
    </row>
    <row r="468" spans="1:35" x14ac:dyDescent="0.25">
      <c r="A468">
        <v>459</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cm="1">
        <f t="array" ref="AI468">SUM(C468:AH468)</f>
        <v>0</v>
      </c>
    </row>
    <row r="469" spans="1:35" x14ac:dyDescent="0.25">
      <c r="A469">
        <v>460</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cm="1">
        <f t="array" ref="AI469">SUM(C469:AH469)</f>
        <v>0</v>
      </c>
    </row>
    <row r="470" spans="1:35" x14ac:dyDescent="0.25">
      <c r="A470">
        <v>461</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cm="1">
        <f t="array" ref="AI470">SUM(C470:AH470)</f>
        <v>0</v>
      </c>
    </row>
    <row r="471" spans="1:35" x14ac:dyDescent="0.25">
      <c r="A471">
        <v>462</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cm="1">
        <f t="array" ref="AI471">SUM(C471:AH471)</f>
        <v>0</v>
      </c>
    </row>
    <row r="472" spans="1:35" x14ac:dyDescent="0.25">
      <c r="A472">
        <v>463</v>
      </c>
      <c r="C472">
        <v>0</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cm="1">
        <f t="array" ref="AI472">SUM(C472:AH472)</f>
        <v>0</v>
      </c>
    </row>
    <row r="473" spans="1:35" x14ac:dyDescent="0.25">
      <c r="A473">
        <v>464</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cm="1">
        <f t="array" ref="AI473">SUM(C473:AH473)</f>
        <v>0</v>
      </c>
    </row>
    <row r="474" spans="1:35" x14ac:dyDescent="0.25">
      <c r="A474">
        <v>465</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cm="1">
        <f t="array" ref="AI474">SUM(C474:AH474)</f>
        <v>0</v>
      </c>
    </row>
    <row r="475" spans="1:35" x14ac:dyDescent="0.25">
      <c r="A475">
        <v>466</v>
      </c>
      <c r="C475">
        <v>0</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cm="1">
        <f t="array" ref="AI475">SUM(C475:AH475)</f>
        <v>0</v>
      </c>
    </row>
    <row r="476" spans="1:35" x14ac:dyDescent="0.25">
      <c r="A476">
        <v>467</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cm="1">
        <f t="array" ref="AI476">SUM(C476:AH476)</f>
        <v>0</v>
      </c>
    </row>
    <row r="477" spans="1:35" x14ac:dyDescent="0.25">
      <c r="A477">
        <v>468</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cm="1">
        <f t="array" ref="AI477">SUM(C477:AH477)</f>
        <v>0</v>
      </c>
    </row>
    <row r="478" spans="1:35" x14ac:dyDescent="0.25">
      <c r="A478">
        <v>469</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cm="1">
        <f t="array" ref="AI478">SUM(C478:AH478)</f>
        <v>0</v>
      </c>
    </row>
    <row r="479" spans="1:35" x14ac:dyDescent="0.25">
      <c r="A479">
        <v>470</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cm="1">
        <f t="array" ref="AI479">SUM(C479:AH479)</f>
        <v>0</v>
      </c>
    </row>
    <row r="480" spans="1:35" x14ac:dyDescent="0.25">
      <c r="A480">
        <v>471</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cm="1">
        <f t="array" ref="AI480">SUM(C480:AH480)</f>
        <v>0</v>
      </c>
    </row>
    <row r="481" spans="1:35" x14ac:dyDescent="0.25">
      <c r="A481">
        <v>472</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cm="1">
        <f t="array" ref="AI481">SUM(C481:AH481)</f>
        <v>0</v>
      </c>
    </row>
    <row r="482" spans="1:35" x14ac:dyDescent="0.25">
      <c r="A482">
        <v>473</v>
      </c>
      <c r="C482">
        <v>0</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cm="1">
        <f t="array" ref="AI482">SUM(C482:AH482)</f>
        <v>0</v>
      </c>
    </row>
    <row r="483" spans="1:35" x14ac:dyDescent="0.25">
      <c r="A483">
        <v>474</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cm="1">
        <f t="array" ref="AI483">SUM(C483:AH483)</f>
        <v>0</v>
      </c>
    </row>
    <row r="484" spans="1:35" x14ac:dyDescent="0.25">
      <c r="A484">
        <v>475</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cm="1">
        <f t="array" ref="AI484">SUM(C484:AH484)</f>
        <v>0</v>
      </c>
    </row>
    <row r="485" spans="1:35" x14ac:dyDescent="0.25">
      <c r="A485">
        <v>476</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cm="1">
        <f t="array" ref="AI485">SUM(C485:AH485)</f>
        <v>0</v>
      </c>
    </row>
    <row r="486" spans="1:35" x14ac:dyDescent="0.25">
      <c r="A486">
        <v>477</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cm="1">
        <f t="array" ref="AI486">SUM(C486:AH486)</f>
        <v>0</v>
      </c>
    </row>
    <row r="487" spans="1:35" x14ac:dyDescent="0.25">
      <c r="A487">
        <v>478</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cm="1">
        <f t="array" ref="AI487">SUM(C487:AH487)</f>
        <v>0</v>
      </c>
    </row>
    <row r="488" spans="1:35" x14ac:dyDescent="0.25">
      <c r="A488">
        <v>479</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cm="1">
        <f t="array" ref="AI488">SUM(C488:AH488)</f>
        <v>0</v>
      </c>
    </row>
    <row r="489" spans="1:35" x14ac:dyDescent="0.25">
      <c r="A489">
        <v>480</v>
      </c>
      <c r="C489">
        <v>0</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cm="1">
        <f t="array" ref="AI489">SUM(C489:AH489)</f>
        <v>0</v>
      </c>
    </row>
    <row r="490" spans="1:35" x14ac:dyDescent="0.25">
      <c r="A490">
        <v>481</v>
      </c>
      <c r="C490">
        <v>0</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cm="1">
        <f t="array" ref="AI490">SUM(C490:AH490)</f>
        <v>0</v>
      </c>
    </row>
    <row r="491" spans="1:35" x14ac:dyDescent="0.25">
      <c r="A491">
        <v>482</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cm="1">
        <f t="array" ref="AI491">SUM(C491:AH491)</f>
        <v>0</v>
      </c>
    </row>
    <row r="492" spans="1:35" x14ac:dyDescent="0.25">
      <c r="A492">
        <v>483</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cm="1">
        <f t="array" ref="AI492">SUM(C492:AH492)</f>
        <v>0</v>
      </c>
    </row>
    <row r="493" spans="1:35" x14ac:dyDescent="0.25">
      <c r="A493">
        <v>484</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cm="1">
        <f t="array" ref="AI493">SUM(C493:AH493)</f>
        <v>0</v>
      </c>
    </row>
    <row r="494" spans="1:35" x14ac:dyDescent="0.25">
      <c r="A494">
        <v>485</v>
      </c>
      <c r="C494">
        <v>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cm="1">
        <f t="array" ref="AI494">SUM(C494:AH494)</f>
        <v>0</v>
      </c>
    </row>
    <row r="495" spans="1:35" x14ac:dyDescent="0.25">
      <c r="A495">
        <v>486</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cm="1">
        <f t="array" ref="AI495">SUM(C495:AH495)</f>
        <v>0</v>
      </c>
    </row>
    <row r="496" spans="1:35" x14ac:dyDescent="0.25">
      <c r="A496">
        <v>487</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cm="1">
        <f t="array" ref="AI496">SUM(C496:AH496)</f>
        <v>0</v>
      </c>
    </row>
    <row r="497" spans="1:35" x14ac:dyDescent="0.25">
      <c r="A497">
        <v>488</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cm="1">
        <f t="array" ref="AI497">SUM(C497:AH497)</f>
        <v>0</v>
      </c>
    </row>
    <row r="498" spans="1:35" x14ac:dyDescent="0.25">
      <c r="A498">
        <v>489</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cm="1">
        <f t="array" ref="AI498">SUM(C498:AH498)</f>
        <v>0</v>
      </c>
    </row>
    <row r="499" spans="1:35" x14ac:dyDescent="0.25">
      <c r="A499">
        <v>490</v>
      </c>
      <c r="C499">
        <v>0</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cm="1">
        <f t="array" ref="AI499">SUM(C499:AH499)</f>
        <v>0</v>
      </c>
    </row>
    <row r="500" spans="1:35" x14ac:dyDescent="0.25">
      <c r="A500">
        <v>491</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cm="1">
        <f t="array" ref="AI500">SUM(C500:AH500)</f>
        <v>0</v>
      </c>
    </row>
    <row r="501" spans="1:35" x14ac:dyDescent="0.25">
      <c r="A501">
        <v>492</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cm="1">
        <f t="array" ref="AI501">SUM(C501:AH501)</f>
        <v>0</v>
      </c>
    </row>
    <row r="502" spans="1:35" x14ac:dyDescent="0.25">
      <c r="A502">
        <v>493</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cm="1">
        <f t="array" ref="AI502">SUM(C502:AH502)</f>
        <v>0</v>
      </c>
    </row>
    <row r="503" spans="1:35" x14ac:dyDescent="0.25">
      <c r="A503">
        <v>494</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cm="1">
        <f t="array" ref="AI503">SUM(C503:AH503)</f>
        <v>0</v>
      </c>
    </row>
    <row r="504" spans="1:35" x14ac:dyDescent="0.25">
      <c r="A504">
        <v>495</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cm="1">
        <f t="array" ref="AI504">SUM(C504:AH504)</f>
        <v>0</v>
      </c>
    </row>
    <row r="505" spans="1:35" x14ac:dyDescent="0.25">
      <c r="A505">
        <v>496</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cm="1">
        <f t="array" ref="AI505">SUM(C505:AH505)</f>
        <v>0</v>
      </c>
    </row>
    <row r="506" spans="1:35" x14ac:dyDescent="0.25">
      <c r="A506">
        <v>497</v>
      </c>
      <c r="C506">
        <v>0</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cm="1">
        <f t="array" ref="AI506">SUM(C506:AH506)</f>
        <v>0</v>
      </c>
    </row>
    <row r="507" spans="1:35" x14ac:dyDescent="0.25">
      <c r="A507">
        <v>498</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cm="1">
        <f t="array" ref="AI507">SUM(C507:AH507)</f>
        <v>0</v>
      </c>
    </row>
    <row r="508" spans="1:35" x14ac:dyDescent="0.25">
      <c r="A508">
        <v>499</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cm="1">
        <f t="array" ref="AI508">SUM(C508:AH508)</f>
        <v>0</v>
      </c>
    </row>
    <row r="509" spans="1:35" x14ac:dyDescent="0.25">
      <c r="A509">
        <v>500</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cm="1">
        <f t="array" ref="AI509">SUM(C509:AH509)</f>
        <v>0</v>
      </c>
    </row>
    <row r="510" spans="1:35" x14ac:dyDescent="0.25">
      <c r="A510">
        <v>501</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cm="1">
        <f t="array" ref="AI510">SUM(C510:AH510)</f>
        <v>0</v>
      </c>
    </row>
    <row r="511" spans="1:35" x14ac:dyDescent="0.25">
      <c r="A511">
        <v>502</v>
      </c>
      <c r="C511">
        <v>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cm="1">
        <f t="array" ref="AI511">SUM(C511:AH511)</f>
        <v>0</v>
      </c>
    </row>
    <row r="512" spans="1:35" x14ac:dyDescent="0.25">
      <c r="A512">
        <v>503</v>
      </c>
      <c r="C512">
        <v>0</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cm="1">
        <f t="array" ref="AI512">SUM(C512:AH512)</f>
        <v>0</v>
      </c>
    </row>
    <row r="513" spans="1:35" x14ac:dyDescent="0.25">
      <c r="A513">
        <v>504</v>
      </c>
      <c r="C513">
        <v>0</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cm="1">
        <f t="array" ref="AI513">SUM(C513:AH513)</f>
        <v>0</v>
      </c>
    </row>
    <row r="514" spans="1:35" x14ac:dyDescent="0.25">
      <c r="A514">
        <v>505</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cm="1">
        <f t="array" ref="AI514">SUM(C514:AH514)</f>
        <v>0</v>
      </c>
    </row>
    <row r="515" spans="1:35" x14ac:dyDescent="0.25">
      <c r="A515">
        <v>506</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cm="1">
        <f t="array" ref="AI515">SUM(C515:AH515)</f>
        <v>0</v>
      </c>
    </row>
    <row r="516" spans="1:35" x14ac:dyDescent="0.25">
      <c r="A516">
        <v>507</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cm="1">
        <f t="array" ref="AI516">SUM(C516:AH516)</f>
        <v>0</v>
      </c>
    </row>
    <row r="517" spans="1:35" x14ac:dyDescent="0.25">
      <c r="A517">
        <v>508</v>
      </c>
      <c r="C517">
        <v>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cm="1">
        <f t="array" ref="AI517">SUM(C517:AH517)</f>
        <v>0</v>
      </c>
    </row>
    <row r="518" spans="1:35" x14ac:dyDescent="0.25">
      <c r="A518">
        <v>509</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cm="1">
        <f t="array" ref="AI518">SUM(C518:AH518)</f>
        <v>0</v>
      </c>
    </row>
    <row r="519" spans="1:35" x14ac:dyDescent="0.25">
      <c r="A519">
        <v>510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cm="1">
        <f t="array" ref="AI519">SUM(C519:AH519)</f>
        <v>0</v>
      </c>
    </row>
    <row r="520" spans="1:35" x14ac:dyDescent="0.25">
      <c r="A520">
        <v>511</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cm="1">
        <f t="array" ref="AI520">SUM(C520:AH520)</f>
        <v>0</v>
      </c>
    </row>
    <row r="521" spans="1:35" x14ac:dyDescent="0.25">
      <c r="A521">
        <v>512</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cm="1">
        <f t="array" ref="AI521">SUM(C521:AH521)</f>
        <v>0</v>
      </c>
    </row>
    <row r="522" spans="1:35" x14ac:dyDescent="0.25">
      <c r="A522">
        <v>513</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cm="1">
        <f t="array" ref="AI522">SUM(C522:AH522)</f>
        <v>0</v>
      </c>
    </row>
    <row r="523" spans="1:35" x14ac:dyDescent="0.25">
      <c r="A523">
        <v>514</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cm="1">
        <f t="array" ref="AI523">SUM(C523:AH523)</f>
        <v>0</v>
      </c>
    </row>
    <row r="524" spans="1:35" x14ac:dyDescent="0.25">
      <c r="A524">
        <v>515</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cm="1">
        <f t="array" ref="AI524">SUM(C524:AH524)</f>
        <v>0</v>
      </c>
    </row>
    <row r="525" spans="1:35" x14ac:dyDescent="0.25">
      <c r="A525">
        <v>516</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cm="1">
        <f t="array" ref="AI525">SUM(C525:AH525)</f>
        <v>0</v>
      </c>
    </row>
    <row r="526" spans="1:35" x14ac:dyDescent="0.25">
      <c r="A526">
        <v>517</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cm="1">
        <f t="array" ref="AI526">SUM(C526:AH526)</f>
        <v>0</v>
      </c>
    </row>
    <row r="527" spans="1:35" x14ac:dyDescent="0.25">
      <c r="A527">
        <v>518</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cm="1">
        <f t="array" ref="AI527">SUM(C527:AH527)</f>
        <v>0</v>
      </c>
    </row>
    <row r="528" spans="1:35" x14ac:dyDescent="0.25">
      <c r="A528">
        <v>519</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cm="1">
        <f t="array" ref="AI528">SUM(C528:AH528)</f>
        <v>0</v>
      </c>
    </row>
    <row r="529" spans="1:35" x14ac:dyDescent="0.25">
      <c r="A529">
        <v>520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cm="1">
        <f t="array" ref="AI529">SUM(C529:AH529)</f>
        <v>0</v>
      </c>
    </row>
    <row r="530" spans="1:35" x14ac:dyDescent="0.25">
      <c r="A530">
        <v>521</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cm="1">
        <f t="array" ref="AI530">SUM(C530:AH530)</f>
        <v>0</v>
      </c>
    </row>
    <row r="531" spans="1:35" x14ac:dyDescent="0.25">
      <c r="A531">
        <v>522</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cm="1">
        <f t="array" ref="AI531">SUM(C531:AH531)</f>
        <v>0</v>
      </c>
    </row>
    <row r="532" spans="1:35" x14ac:dyDescent="0.25">
      <c r="A532">
        <v>523</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cm="1">
        <f t="array" ref="AI532">SUM(C532:AH532)</f>
        <v>0</v>
      </c>
    </row>
    <row r="533" spans="1:35" x14ac:dyDescent="0.25">
      <c r="A533">
        <v>524</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cm="1">
        <f t="array" ref="AI533">SUM(C533:AH533)</f>
        <v>0</v>
      </c>
    </row>
    <row r="534" spans="1:35" x14ac:dyDescent="0.25">
      <c r="A534">
        <v>525</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cm="1">
        <f t="array" ref="AI534">SUM(C534:AH534)</f>
        <v>0</v>
      </c>
    </row>
    <row r="535" spans="1:35" x14ac:dyDescent="0.25">
      <c r="A535">
        <v>526</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cm="1">
        <f t="array" ref="AI535">SUM(C535:AH535)</f>
        <v>0</v>
      </c>
    </row>
    <row r="536" spans="1:35" x14ac:dyDescent="0.25">
      <c r="A536">
        <v>527</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cm="1">
        <f t="array" ref="AI536">SUM(C536:AH536)</f>
        <v>0</v>
      </c>
    </row>
    <row r="537" spans="1:35" x14ac:dyDescent="0.25">
      <c r="A537">
        <v>528</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cm="1">
        <f t="array" ref="AI537">SUM(C537:AH537)</f>
        <v>0</v>
      </c>
    </row>
    <row r="538" spans="1:35" x14ac:dyDescent="0.25">
      <c r="A538">
        <v>529</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cm="1">
        <f t="array" ref="AI538">SUM(C538:AH538)</f>
        <v>0</v>
      </c>
    </row>
    <row r="539" spans="1:35" x14ac:dyDescent="0.25">
      <c r="A539">
        <v>530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cm="1">
        <f t="array" ref="AI539">SUM(C539:AH539)</f>
        <v>0</v>
      </c>
    </row>
    <row r="540" spans="1:35" x14ac:dyDescent="0.25">
      <c r="A540">
        <v>531</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cm="1">
        <f t="array" ref="AI540">SUM(C540:AH540)</f>
        <v>0</v>
      </c>
    </row>
    <row r="541" spans="1:35" x14ac:dyDescent="0.25">
      <c r="A541">
        <v>532</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cm="1">
        <f t="array" ref="AI541">SUM(C541:AH541)</f>
        <v>0</v>
      </c>
    </row>
    <row r="542" spans="1:35" x14ac:dyDescent="0.25">
      <c r="A542">
        <v>533</v>
      </c>
      <c r="C542">
        <v>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cm="1">
        <f t="array" ref="AI542">SUM(C542:AH542)</f>
        <v>0</v>
      </c>
    </row>
    <row r="543" spans="1:35" x14ac:dyDescent="0.25">
      <c r="A543">
        <v>534</v>
      </c>
      <c r="C543">
        <v>0</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cm="1">
        <f t="array" ref="AI543">SUM(C543:AH543)</f>
        <v>0</v>
      </c>
    </row>
    <row r="544" spans="1:35" x14ac:dyDescent="0.25">
      <c r="A544">
        <v>535</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cm="1">
        <f t="array" ref="AI544">SUM(C544:AH544)</f>
        <v>0</v>
      </c>
    </row>
    <row r="545" spans="1:35" x14ac:dyDescent="0.25">
      <c r="A545">
        <v>536</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cm="1">
        <f t="array" ref="AI545">SUM(C545:AH545)</f>
        <v>0</v>
      </c>
    </row>
    <row r="546" spans="1:35" x14ac:dyDescent="0.25">
      <c r="A546">
        <v>537</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cm="1">
        <f t="array" ref="AI546">SUM(C546:AH546)</f>
        <v>0</v>
      </c>
    </row>
    <row r="547" spans="1:35" x14ac:dyDescent="0.25">
      <c r="A547">
        <v>538</v>
      </c>
      <c r="C547">
        <v>0</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cm="1">
        <f t="array" ref="AI547">SUM(C547:AH547)</f>
        <v>0</v>
      </c>
    </row>
    <row r="548" spans="1:35" x14ac:dyDescent="0.25">
      <c r="A548">
        <v>539</v>
      </c>
      <c r="C548">
        <v>0</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cm="1">
        <f t="array" ref="AI548">SUM(C548:AH548)</f>
        <v>0</v>
      </c>
    </row>
    <row r="549" spans="1:35" x14ac:dyDescent="0.25">
      <c r="A549">
        <v>540</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cm="1">
        <f t="array" ref="AI549">SUM(C549:AH549)</f>
        <v>0</v>
      </c>
    </row>
    <row r="550" spans="1:35" x14ac:dyDescent="0.25">
      <c r="A550">
        <v>541</v>
      </c>
      <c r="C550">
        <v>0</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cm="1">
        <f t="array" ref="AI550">SUM(C550:AH550)</f>
        <v>0</v>
      </c>
    </row>
    <row r="551" spans="1:35" x14ac:dyDescent="0.25">
      <c r="A551">
        <v>542</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cm="1">
        <f t="array" ref="AI551">SUM(C551:AH551)</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51"/>
  <sheetViews>
    <sheetView workbookViewId="0"/>
  </sheetViews>
  <sheetFormatPr baseColWidth="10" defaultColWidth="13.6640625" defaultRowHeight="13.2" x14ac:dyDescent="0.25"/>
  <cols>
    <col min="1" max="1" width="7.6640625" customWidth="1"/>
    <col min="2" max="2" width="48.5546875" customWidth="1"/>
    <col min="3" max="35" width="13.6640625" customWidth="1"/>
  </cols>
  <sheetData>
    <row r="1" spans="1:35" x14ac:dyDescent="0.25">
      <c r="B1" t="s">
        <v>31</v>
      </c>
      <c r="C1">
        <v>4</v>
      </c>
    </row>
    <row r="2" spans="1:35" x14ac:dyDescent="0.25">
      <c r="B2" t="s">
        <v>32</v>
      </c>
      <c r="C2" t="s">
        <v>122</v>
      </c>
    </row>
    <row r="3" spans="1:35" x14ac:dyDescent="0.25">
      <c r="B3" t="s">
        <v>34</v>
      </c>
      <c r="C3" t="str" cm="1">
        <f t="array" aca="1" ref="C3" ca="1">IF(Dashboard!C2="",TODAY(),Dashboard!C2)</f>
        <v>01/31/2026</v>
      </c>
    </row>
    <row r="4" spans="1:35" x14ac:dyDescent="0.25">
      <c r="B4" t="s">
        <v>35</v>
      </c>
      <c r="C4" t="s">
        <v>36</v>
      </c>
    </row>
    <row r="5" spans="1:35" x14ac:dyDescent="0.25">
      <c r="C5">
        <v>0</v>
      </c>
      <c r="D5">
        <v>1</v>
      </c>
      <c r="E5">
        <v>2</v>
      </c>
      <c r="F5">
        <v>3</v>
      </c>
      <c r="G5">
        <v>4</v>
      </c>
      <c r="H5">
        <v>5</v>
      </c>
      <c r="I5">
        <v>6</v>
      </c>
      <c r="J5">
        <v>7</v>
      </c>
      <c r="K5">
        <v>8</v>
      </c>
      <c r="L5">
        <v>9</v>
      </c>
      <c r="M5">
        <v>10</v>
      </c>
      <c r="N5">
        <v>11</v>
      </c>
      <c r="O5">
        <v>12</v>
      </c>
      <c r="P5">
        <v>13</v>
      </c>
      <c r="Q5">
        <v>14</v>
      </c>
      <c r="R5">
        <v>15</v>
      </c>
      <c r="S5">
        <v>16</v>
      </c>
      <c r="T5">
        <v>17</v>
      </c>
      <c r="U5">
        <v>18</v>
      </c>
      <c r="V5">
        <v>19</v>
      </c>
      <c r="W5">
        <v>20</v>
      </c>
      <c r="X5">
        <v>21</v>
      </c>
      <c r="Y5">
        <v>22</v>
      </c>
      <c r="Z5">
        <v>23</v>
      </c>
      <c r="AA5">
        <v>24</v>
      </c>
      <c r="AB5">
        <v>25</v>
      </c>
      <c r="AC5">
        <v>26</v>
      </c>
      <c r="AD5">
        <v>27</v>
      </c>
      <c r="AE5">
        <v>28</v>
      </c>
      <c r="AF5">
        <v>29</v>
      </c>
      <c r="AG5">
        <v>30</v>
      </c>
      <c r="AH5">
        <v>31</v>
      </c>
    </row>
    <row r="6" spans="1:35" x14ac:dyDescent="0.25">
      <c r="B6" t="s">
        <v>37</v>
      </c>
      <c r="C6" t="e" cm="1">
        <f t="array" aca="1" ref="C6" ca="1">TEXT(MONTH(EDATE($C$3,-C5)),"00")&amp;"/"&amp;YEAR(EDATE($C$3,-C5))</f>
        <v>#VALUE!</v>
      </c>
      <c r="D6" t="e" cm="1">
        <f t="array" aca="1" ref="D6" ca="1">TEXT(MONTH(EDATE($C$3,-D5)),"00")&amp;"/"&amp;YEAR(EDATE($C$3,-D5))</f>
        <v>#VALUE!</v>
      </c>
      <c r="E6" t="e" cm="1">
        <f t="array" aca="1" ref="E6" ca="1">TEXT(MONTH(EDATE($C$3,-E5)),"00")&amp;"/"&amp;YEAR(EDATE($C$3,-E5))</f>
        <v>#VALUE!</v>
      </c>
      <c r="F6" t="e" cm="1">
        <f t="array" aca="1" ref="F6" ca="1">TEXT(MONTH(EDATE($C$3,-F5)),"00")&amp;"/"&amp;YEAR(EDATE($C$3,-F5))</f>
        <v>#VALUE!</v>
      </c>
      <c r="G6" t="e" cm="1">
        <f t="array" aca="1" ref="G6" ca="1">TEXT(MONTH(EDATE($C$3,-G5)),"00")&amp;"/"&amp;YEAR(EDATE($C$3,-G5))</f>
        <v>#VALUE!</v>
      </c>
      <c r="H6" t="e" cm="1">
        <f t="array" aca="1" ref="H6" ca="1">TEXT(MONTH(EDATE($C$3,-H5)),"00")&amp;"/"&amp;YEAR(EDATE($C$3,-H5))</f>
        <v>#VALUE!</v>
      </c>
      <c r="I6" t="e" cm="1">
        <f t="array" aca="1" ref="I6" ca="1">TEXT(MONTH(EDATE($C$3,-I5)),"00")&amp;"/"&amp;YEAR(EDATE($C$3,-I5))</f>
        <v>#VALUE!</v>
      </c>
      <c r="J6" t="e" cm="1">
        <f t="array" aca="1" ref="J6" ca="1">TEXT(MONTH(EDATE($C$3,-J5)),"00")&amp;"/"&amp;YEAR(EDATE($C$3,-J5))</f>
        <v>#VALUE!</v>
      </c>
      <c r="K6" t="e" cm="1">
        <f t="array" aca="1" ref="K6" ca="1">TEXT(MONTH(EDATE($C$3,-K5)),"00")&amp;"/"&amp;YEAR(EDATE($C$3,-K5))</f>
        <v>#VALUE!</v>
      </c>
      <c r="L6" t="e" cm="1">
        <f t="array" aca="1" ref="L6" ca="1">TEXT(MONTH(EDATE($C$3,-L5)),"00")&amp;"/"&amp;YEAR(EDATE($C$3,-L5))</f>
        <v>#VALUE!</v>
      </c>
      <c r="M6" t="e" cm="1">
        <f t="array" aca="1" ref="M6" ca="1">TEXT(MONTH(EDATE($C$3,-M5)),"00")&amp;"/"&amp;YEAR(EDATE($C$3,-M5))</f>
        <v>#VALUE!</v>
      </c>
      <c r="N6" t="e" cm="1">
        <f t="array" aca="1" ref="N6" ca="1">TEXT(MONTH(EDATE($C$3,-N5)),"00")&amp;"/"&amp;YEAR(EDATE($C$3,-N5))</f>
        <v>#VALUE!</v>
      </c>
      <c r="O6" t="e" cm="1">
        <f t="array" aca="1" ref="O6" ca="1">TEXT(MONTH(EDATE($C$3,-O5)),"00")&amp;"/"&amp;YEAR(EDATE($C$3,-O5))</f>
        <v>#VALUE!</v>
      </c>
      <c r="P6" t="e" cm="1">
        <f t="array" aca="1" ref="P6" ca="1">TEXT(MONTH(EDATE($C$3,-P5)),"00")&amp;"/"&amp;YEAR(EDATE($C$3,-P5))</f>
        <v>#VALUE!</v>
      </c>
      <c r="Q6" t="e" cm="1">
        <f t="array" aca="1" ref="Q6" ca="1">TEXT(MONTH(EDATE($C$3,-Q5)),"00")&amp;"/"&amp;YEAR(EDATE($C$3,-Q5))</f>
        <v>#VALUE!</v>
      </c>
      <c r="R6" t="e" cm="1">
        <f t="array" aca="1" ref="R6" ca="1">TEXT(MONTH(EDATE($C$3,-R5)),"00")&amp;"/"&amp;YEAR(EDATE($C$3,-R5))</f>
        <v>#VALUE!</v>
      </c>
      <c r="S6" t="e" cm="1">
        <f t="array" aca="1" ref="S6" ca="1">TEXT(MONTH(EDATE($C$3,-S5)),"00")&amp;"/"&amp;YEAR(EDATE($C$3,-S5))</f>
        <v>#VALUE!</v>
      </c>
      <c r="T6" t="e" cm="1">
        <f t="array" aca="1" ref="T6" ca="1">TEXT(MONTH(EDATE($C$3,-T5)),"00")&amp;"/"&amp;YEAR(EDATE($C$3,-T5))</f>
        <v>#VALUE!</v>
      </c>
      <c r="U6" t="e" cm="1">
        <f t="array" aca="1" ref="U6" ca="1">TEXT(MONTH(EDATE($C$3,-U5)),"00")&amp;"/"&amp;YEAR(EDATE($C$3,-U5))</f>
        <v>#VALUE!</v>
      </c>
      <c r="V6" t="e" cm="1">
        <f t="array" aca="1" ref="V6" ca="1">TEXT(MONTH(EDATE($C$3,-V5)),"00")&amp;"/"&amp;YEAR(EDATE($C$3,-V5))</f>
        <v>#VALUE!</v>
      </c>
      <c r="W6" t="e" cm="1">
        <f t="array" aca="1" ref="W6" ca="1">TEXT(MONTH(EDATE($C$3,-W5)),"00")&amp;"/"&amp;YEAR(EDATE($C$3,-W5))</f>
        <v>#VALUE!</v>
      </c>
      <c r="X6" t="e" cm="1">
        <f t="array" aca="1" ref="X6" ca="1">TEXT(MONTH(EDATE($C$3,-X5)),"00")&amp;"/"&amp;YEAR(EDATE($C$3,-X5))</f>
        <v>#VALUE!</v>
      </c>
      <c r="Y6" t="e" cm="1">
        <f t="array" aca="1" ref="Y6" ca="1">TEXT(MONTH(EDATE($C$3,-Y5)),"00")&amp;"/"&amp;YEAR(EDATE($C$3,-Y5))</f>
        <v>#VALUE!</v>
      </c>
      <c r="Z6" t="e" cm="1">
        <f t="array" aca="1" ref="Z6" ca="1">TEXT(MONTH(EDATE($C$3,-Z5)),"00")&amp;"/"&amp;YEAR(EDATE($C$3,-Z5))</f>
        <v>#VALUE!</v>
      </c>
      <c r="AA6" t="e" cm="1">
        <f t="array" aca="1" ref="AA6" ca="1">TEXT(MONTH(EDATE($C$3,-AA5)),"00")&amp;"/"&amp;YEAR(EDATE($C$3,-AA5))</f>
        <v>#VALUE!</v>
      </c>
      <c r="AB6" t="e" cm="1">
        <f t="array" aca="1" ref="AB6" ca="1">TEXT(MONTH(EDATE($C$3,-AB5)),"00")&amp;"/"&amp;YEAR(EDATE($C$3,-AB5))</f>
        <v>#VALUE!</v>
      </c>
      <c r="AC6" t="e" cm="1">
        <f t="array" aca="1" ref="AC6" ca="1">TEXT(MONTH(EDATE($C$3,-AC5)),"00")&amp;"/"&amp;YEAR(EDATE($C$3,-AC5))</f>
        <v>#VALUE!</v>
      </c>
      <c r="AD6" t="e" cm="1">
        <f t="array" aca="1" ref="AD6" ca="1">TEXT(MONTH(EDATE($C$3,-AD5)),"00")&amp;"/"&amp;YEAR(EDATE($C$3,-AD5))</f>
        <v>#VALUE!</v>
      </c>
      <c r="AE6" t="e" cm="1">
        <f t="array" aca="1" ref="AE6" ca="1">TEXT(MONTH(EDATE($C$3,-AE5)),"00")&amp;"/"&amp;YEAR(EDATE($C$3,-AE5))</f>
        <v>#VALUE!</v>
      </c>
      <c r="AF6" t="e" cm="1">
        <f t="array" aca="1" ref="AF6" ca="1">TEXT(MONTH(EDATE($C$3,-AF5)),"00")&amp;"/"&amp;YEAR(EDATE($C$3,-AF5))</f>
        <v>#VALUE!</v>
      </c>
      <c r="AG6" t="e" cm="1">
        <f t="array" aca="1" ref="AG6" ca="1">TEXT(MONTH(EDATE($C$3,-AG5)),"00")&amp;"/"&amp;YEAR(EDATE($C$3,-AG5))</f>
        <v>#VALUE!</v>
      </c>
      <c r="AH6" t="e" cm="1">
        <f t="array" aca="1" ref="AH6" ca="1">TEXT(MONTH(EDATE($C$3,-AH5)),"00")&amp;"/"&amp;YEAR(EDATE($C$3,-AH5))</f>
        <v>#VALUE!</v>
      </c>
    </row>
    <row r="7" spans="1:35" x14ac:dyDescent="0.25">
      <c r="B7" t="s">
        <v>38</v>
      </c>
      <c r="C7" t="e" cm="1">
        <f t="array" aca="1" ref="C7" ca="1">"09/"&amp;YEAR(EDATE($C$3,-C5-8))</f>
        <v>#VALUE!</v>
      </c>
      <c r="D7" t="e" cm="1">
        <f t="array" aca="1" ref="D7" ca="1">"09/"&amp;YEAR(EDATE($C$3,-D5-8))</f>
        <v>#VALUE!</v>
      </c>
      <c r="E7" t="e" cm="1">
        <f t="array" aca="1" ref="E7" ca="1">"09/"&amp;YEAR(EDATE($C$3,-E5-8))</f>
        <v>#VALUE!</v>
      </c>
      <c r="F7" t="e" cm="1">
        <f t="array" aca="1" ref="F7" ca="1">"09/"&amp;YEAR(EDATE($C$3,-F5-8))</f>
        <v>#VALUE!</v>
      </c>
      <c r="G7" t="e" cm="1">
        <f t="array" aca="1" ref="G7" ca="1">"09/"&amp;YEAR(EDATE($C$3,-G5-8))</f>
        <v>#VALUE!</v>
      </c>
      <c r="H7" t="e" cm="1">
        <f t="array" aca="1" ref="H7" ca="1">"09/"&amp;YEAR(EDATE($C$3,-H5-8))</f>
        <v>#VALUE!</v>
      </c>
      <c r="I7" t="e" cm="1">
        <f t="array" aca="1" ref="I7" ca="1">"09/"&amp;YEAR(EDATE($C$3,-I5-8))</f>
        <v>#VALUE!</v>
      </c>
      <c r="J7" t="e" cm="1">
        <f t="array" aca="1" ref="J7" ca="1">"09/"&amp;YEAR(EDATE($C$3,-J5-8))</f>
        <v>#VALUE!</v>
      </c>
      <c r="K7" t="e" cm="1">
        <f t="array" aca="1" ref="K7" ca="1">"09/"&amp;YEAR(EDATE($C$3,-K5-8))</f>
        <v>#VALUE!</v>
      </c>
      <c r="L7" t="e" cm="1">
        <f t="array" aca="1" ref="L7" ca="1">"09/"&amp;YEAR(EDATE($C$3,-L5-8))</f>
        <v>#VALUE!</v>
      </c>
      <c r="M7" t="e" cm="1">
        <f t="array" aca="1" ref="M7" ca="1">"09/"&amp;YEAR(EDATE($C$3,-M5-8))</f>
        <v>#VALUE!</v>
      </c>
      <c r="N7" t="e" cm="1">
        <f t="array" aca="1" ref="N7" ca="1">"09/"&amp;YEAR(EDATE($C$3,-N5-8))</f>
        <v>#VALUE!</v>
      </c>
      <c r="O7" t="e" cm="1">
        <f t="array" aca="1" ref="O7" ca="1">"09/"&amp;YEAR(EDATE($C$3,-O5-8))</f>
        <v>#VALUE!</v>
      </c>
      <c r="P7" t="e" cm="1">
        <f t="array" aca="1" ref="P7" ca="1">"09/"&amp;YEAR(EDATE($C$3,-P5-8))</f>
        <v>#VALUE!</v>
      </c>
      <c r="Q7" t="e" cm="1">
        <f t="array" aca="1" ref="Q7" ca="1">"09/"&amp;YEAR(EDATE($C$3,-Q5-8))</f>
        <v>#VALUE!</v>
      </c>
      <c r="R7" t="e" cm="1">
        <f t="array" aca="1" ref="R7" ca="1">"09/"&amp;YEAR(EDATE($C$3,-R5-8))</f>
        <v>#VALUE!</v>
      </c>
      <c r="S7" t="e" cm="1">
        <f t="array" aca="1" ref="S7" ca="1">"09/"&amp;YEAR(EDATE($C$3,-S5-8))</f>
        <v>#VALUE!</v>
      </c>
      <c r="T7" t="e" cm="1">
        <f t="array" aca="1" ref="T7" ca="1">"09/"&amp;YEAR(EDATE($C$3,-T5-8))</f>
        <v>#VALUE!</v>
      </c>
      <c r="U7" t="e" cm="1">
        <f t="array" aca="1" ref="U7" ca="1">"09/"&amp;YEAR(EDATE($C$3,-U5-8))</f>
        <v>#VALUE!</v>
      </c>
      <c r="V7" t="e" cm="1">
        <f t="array" aca="1" ref="V7" ca="1">"09/"&amp;YEAR(EDATE($C$3,-V5-8))</f>
        <v>#VALUE!</v>
      </c>
      <c r="W7" t="e" cm="1">
        <f t="array" aca="1" ref="W7" ca="1">"09/"&amp;YEAR(EDATE($C$3,-W5-8))</f>
        <v>#VALUE!</v>
      </c>
      <c r="X7" t="e" cm="1">
        <f t="array" aca="1" ref="X7" ca="1">"09/"&amp;YEAR(EDATE($C$3,-X5-8))</f>
        <v>#VALUE!</v>
      </c>
      <c r="Y7" t="e" cm="1">
        <f t="array" aca="1" ref="Y7" ca="1">"09/"&amp;YEAR(EDATE($C$3,-Y5-8))</f>
        <v>#VALUE!</v>
      </c>
      <c r="Z7" t="e" cm="1">
        <f t="array" aca="1" ref="Z7" ca="1">"09/"&amp;YEAR(EDATE($C$3,-Z5-8))</f>
        <v>#VALUE!</v>
      </c>
      <c r="AA7" t="e" cm="1">
        <f t="array" aca="1" ref="AA7" ca="1">"09/"&amp;YEAR(EDATE($C$3,-AA5-8))</f>
        <v>#VALUE!</v>
      </c>
      <c r="AB7" t="e" cm="1">
        <f t="array" aca="1" ref="AB7" ca="1">"09/"&amp;YEAR(EDATE($C$3,-AB5-8))</f>
        <v>#VALUE!</v>
      </c>
      <c r="AC7" t="e" cm="1">
        <f t="array" aca="1" ref="AC7" ca="1">"09/"&amp;YEAR(EDATE($C$3,-AC5-8))</f>
        <v>#VALUE!</v>
      </c>
      <c r="AD7" t="e" cm="1">
        <f t="array" aca="1" ref="AD7" ca="1">"09/"&amp;YEAR(EDATE($C$3,-AD5-8))</f>
        <v>#VALUE!</v>
      </c>
      <c r="AE7" t="e" cm="1">
        <f t="array" aca="1" ref="AE7" ca="1">"09/"&amp;YEAR(EDATE($C$3,-AE5-8))</f>
        <v>#VALUE!</v>
      </c>
      <c r="AF7" t="e" cm="1">
        <f t="array" aca="1" ref="AF7" ca="1">"09/"&amp;YEAR(EDATE($C$3,-AF5-8))</f>
        <v>#VALUE!</v>
      </c>
      <c r="AG7" t="e" cm="1">
        <f t="array" aca="1" ref="AG7" ca="1">"09/"&amp;YEAR(EDATE($C$3,-AG5-8))</f>
        <v>#VALUE!</v>
      </c>
      <c r="AH7" t="e" cm="1">
        <f t="array" aca="1" ref="AH7" ca="1">"09/"&amp;YEAR(EDATE($C$3,-AH5-8))</f>
        <v>#VALUE!</v>
      </c>
    </row>
    <row r="8" spans="1:35" x14ac:dyDescent="0.25">
      <c r="B8" t="s">
        <v>39</v>
      </c>
      <c r="C8" t="e" cm="1">
        <f t="array" aca="1" ref="C8" ca="1">IF(MONTH(EDATE($C$3,-$C$5+4))-MONTH(EDATE($C$3,-C5+4))&gt;=0,TRUE,FALSE)</f>
        <v>#VALUE!</v>
      </c>
      <c r="D8" t="e" cm="1">
        <f t="array" aca="1" ref="D8" ca="1">IF(MONTH(EDATE($C$3,-$C$5+4))-MONTH(EDATE($C$3,-D5+4))&gt;=0,TRUE,FALSE)</f>
        <v>#VALUE!</v>
      </c>
      <c r="E8" t="e" cm="1">
        <f t="array" aca="1" ref="E8" ca="1">IF(MONTH(EDATE($C$3,-$C$5+4))-MONTH(EDATE($C$3,-E5+4))&gt;=0,TRUE,FALSE)</f>
        <v>#VALUE!</v>
      </c>
      <c r="F8" t="e" cm="1">
        <f t="array" aca="1" ref="F8" ca="1">IF(MONTH(EDATE($C$3,-$C$5+4))-MONTH(EDATE($C$3,-F5+4))&gt;=0,TRUE,FALSE)</f>
        <v>#VALUE!</v>
      </c>
      <c r="G8" t="e" cm="1">
        <f t="array" aca="1" ref="G8" ca="1">IF(MONTH(EDATE($C$3,-$C$5+4))-MONTH(EDATE($C$3,-G5+4))&gt;=0,TRUE,FALSE)</f>
        <v>#VALUE!</v>
      </c>
      <c r="H8" t="e" cm="1">
        <f t="array" aca="1" ref="H8" ca="1">IF(MONTH(EDATE($C$3,-$C$5+4))-MONTH(EDATE($C$3,-H5+4))&gt;=0,TRUE,FALSE)</f>
        <v>#VALUE!</v>
      </c>
      <c r="I8" t="e" cm="1">
        <f t="array" aca="1" ref="I8" ca="1">IF(MONTH(EDATE($C$3,-$C$5+4))-MONTH(EDATE($C$3,-I5+4))&gt;=0,TRUE,FALSE)</f>
        <v>#VALUE!</v>
      </c>
      <c r="J8" t="e" cm="1">
        <f t="array" aca="1" ref="J8" ca="1">IF(MONTH(EDATE($C$3,-$C$5+4))-MONTH(EDATE($C$3,-J5+4))&gt;=0,TRUE,FALSE)</f>
        <v>#VALUE!</v>
      </c>
      <c r="K8" t="e" cm="1">
        <f t="array" aca="1" ref="K8" ca="1">IF(MONTH(EDATE($C$3,-$C$5+4))-MONTH(EDATE($C$3,-K5+4))&gt;=0,TRUE,FALSE)</f>
        <v>#VALUE!</v>
      </c>
      <c r="L8" t="e" cm="1">
        <f t="array" aca="1" ref="L8" ca="1">IF(MONTH(EDATE($C$3,-$C$5+4))-MONTH(EDATE($C$3,-L5+4))&gt;=0,TRUE,FALSE)</f>
        <v>#VALUE!</v>
      </c>
      <c r="M8" t="e" cm="1">
        <f t="array" aca="1" ref="M8" ca="1">IF(MONTH(EDATE($C$3,-$C$5+4))-MONTH(EDATE($C$3,-M5+4))&gt;=0,TRUE,FALSE)</f>
        <v>#VALUE!</v>
      </c>
      <c r="N8" t="e" cm="1">
        <f t="array" aca="1" ref="N8" ca="1">IF(MONTH(EDATE($C$3,-$C$5+4))-MONTH(EDATE($C$3,-N5+4))&gt;=0,TRUE,FALSE)</f>
        <v>#VALUE!</v>
      </c>
      <c r="O8" t="e" cm="1">
        <f t="array" aca="1" ref="O8" ca="1">IF(MONTH(EDATE($C$3,-$C$5+4))-MONTH(EDATE($C$3,-O5+4))&gt;=0,TRUE,FALSE)</f>
        <v>#VALUE!</v>
      </c>
      <c r="P8" t="e" cm="1">
        <f t="array" aca="1" ref="P8" ca="1">IF(MONTH(EDATE($C$3,-$C$5+4))-MONTH(EDATE($C$3,-P5+4))&gt;=0,TRUE,FALSE)</f>
        <v>#VALUE!</v>
      </c>
      <c r="Q8" t="e" cm="1">
        <f t="array" aca="1" ref="Q8" ca="1">IF(MONTH(EDATE($C$3,-$C$5+4))-MONTH(EDATE($C$3,-Q5+4))&gt;=0,TRUE,FALSE)</f>
        <v>#VALUE!</v>
      </c>
      <c r="R8" t="e" cm="1">
        <f t="array" aca="1" ref="R8" ca="1">IF(MONTH(EDATE($C$3,-$C$5+4))-MONTH(EDATE($C$3,-R5+4))&gt;=0,TRUE,FALSE)</f>
        <v>#VALUE!</v>
      </c>
      <c r="S8" t="e" cm="1">
        <f t="array" aca="1" ref="S8" ca="1">IF(MONTH(EDATE($C$3,-$C$5+4))-MONTH(EDATE($C$3,-S5+4))&gt;=0,TRUE,FALSE)</f>
        <v>#VALUE!</v>
      </c>
      <c r="T8" t="e" cm="1">
        <f t="array" aca="1" ref="T8" ca="1">IF(MONTH(EDATE($C$3,-$C$5+4))-MONTH(EDATE($C$3,-T5+4))&gt;=0,TRUE,FALSE)</f>
        <v>#VALUE!</v>
      </c>
      <c r="U8" t="e" cm="1">
        <f t="array" aca="1" ref="U8" ca="1">IF(MONTH(EDATE($C$3,-$C$5+4))-MONTH(EDATE($C$3,-U5+4))&gt;=0,TRUE,FALSE)</f>
        <v>#VALUE!</v>
      </c>
      <c r="V8" t="e" cm="1">
        <f t="array" aca="1" ref="V8" ca="1">IF(MONTH(EDATE($C$3,-$C$5+4))-MONTH(EDATE($C$3,-V5+4))&gt;=0,TRUE,FALSE)</f>
        <v>#VALUE!</v>
      </c>
      <c r="W8" t="e" cm="1">
        <f t="array" aca="1" ref="W8" ca="1">IF(MONTH(EDATE($C$3,-$C$5+4))-MONTH(EDATE($C$3,-W5+4))&gt;=0,TRUE,FALSE)</f>
        <v>#VALUE!</v>
      </c>
      <c r="X8" t="e" cm="1">
        <f t="array" aca="1" ref="X8" ca="1">IF(MONTH(EDATE($C$3,-$C$5+4))-MONTH(EDATE($C$3,-X5+4))&gt;=0,TRUE,FALSE)</f>
        <v>#VALUE!</v>
      </c>
      <c r="Y8" t="e" cm="1">
        <f t="array" aca="1" ref="Y8" ca="1">IF(MONTH(EDATE($C$3,-$C$5+4))-MONTH(EDATE($C$3,-Y5+4))&gt;=0,TRUE,FALSE)</f>
        <v>#VALUE!</v>
      </c>
      <c r="Z8" t="e" cm="1">
        <f t="array" aca="1" ref="Z8" ca="1">IF(MONTH(EDATE($C$3,-$C$5+4))-MONTH(EDATE($C$3,-Z5+4))&gt;=0,TRUE,FALSE)</f>
        <v>#VALUE!</v>
      </c>
      <c r="AA8" t="e" cm="1">
        <f t="array" aca="1" ref="AA8" ca="1">IF(MONTH(EDATE($C$3,-$C$5+4))-MONTH(EDATE($C$3,-AA5+4))&gt;=0,TRUE,FALSE)</f>
        <v>#VALUE!</v>
      </c>
      <c r="AB8" t="e" cm="1">
        <f t="array" aca="1" ref="AB8" ca="1">IF(MONTH(EDATE($C$3,-$C$5+4))-MONTH(EDATE($C$3,-AB5+4))&gt;=0,TRUE,FALSE)</f>
        <v>#VALUE!</v>
      </c>
      <c r="AC8" t="e" cm="1">
        <f t="array" aca="1" ref="AC8" ca="1">IF(MONTH(EDATE($C$3,-$C$5+4))-MONTH(EDATE($C$3,-AC5+4))&gt;=0,TRUE,FALSE)</f>
        <v>#VALUE!</v>
      </c>
      <c r="AD8" t="e" cm="1">
        <f t="array" aca="1" ref="AD8" ca="1">IF(MONTH(EDATE($C$3,-$C$5+4))-MONTH(EDATE($C$3,-AD5+4))&gt;=0,TRUE,FALSE)</f>
        <v>#VALUE!</v>
      </c>
      <c r="AE8" t="e" cm="1">
        <f t="array" aca="1" ref="AE8" ca="1">IF(MONTH(EDATE($C$3,-$C$5+4))-MONTH(EDATE($C$3,-AE5+4))&gt;=0,TRUE,FALSE)</f>
        <v>#VALUE!</v>
      </c>
      <c r="AF8" t="e" cm="1">
        <f t="array" aca="1" ref="AF8" ca="1">IF(MONTH(EDATE($C$3,-$C$5+4))-MONTH(EDATE($C$3,-AF5+4))&gt;=0,TRUE,FALSE)</f>
        <v>#VALUE!</v>
      </c>
      <c r="AG8" t="e" cm="1">
        <f t="array" aca="1" ref="AG8" ca="1">IF(MONTH(EDATE($C$3,-$C$5+4))-MONTH(EDATE($C$3,-AG5+4))&gt;=0,TRUE,FALSE)</f>
        <v>#VALUE!</v>
      </c>
      <c r="AH8" t="e" cm="1">
        <f t="array" aca="1" ref="AH8" ca="1">IF(MONTH(EDATE($C$3,-$C$5+4))-MONTH(EDATE($C$3,-AH5+4))&gt;=0,TRUE,FALSE)</f>
        <v>#VALUE!</v>
      </c>
    </row>
    <row r="9" spans="1:35" x14ac:dyDescent="0.25">
      <c r="C9" t="str" cm="1">
        <f t="array" ref="C9">$C$2</f>
        <v>quantity</v>
      </c>
      <c r="D9" t="str" cm="1">
        <f t="array" ref="D9">$C$2</f>
        <v>quantity</v>
      </c>
      <c r="E9" t="str" cm="1">
        <f t="array" ref="E9">$C$2</f>
        <v>quantity</v>
      </c>
      <c r="F9" t="str" cm="1">
        <f t="array" ref="F9">$C$2</f>
        <v>quantity</v>
      </c>
      <c r="G9" t="str" cm="1">
        <f t="array" ref="G9">$C$2</f>
        <v>quantity</v>
      </c>
      <c r="H9" t="str" cm="1">
        <f t="array" ref="H9">$C$2</f>
        <v>quantity</v>
      </c>
      <c r="I9" t="str" cm="1">
        <f t="array" ref="I9">$C$2</f>
        <v>quantity</v>
      </c>
      <c r="J9" t="str" cm="1">
        <f t="array" ref="J9">$C$2</f>
        <v>quantity</v>
      </c>
      <c r="K9" t="str" cm="1">
        <f t="array" ref="K9">$C$2</f>
        <v>quantity</v>
      </c>
      <c r="L9" t="str" cm="1">
        <f t="array" ref="L9">$C$2</f>
        <v>quantity</v>
      </c>
      <c r="M9" t="str" cm="1">
        <f t="array" ref="M9">$C$2</f>
        <v>quantity</v>
      </c>
      <c r="N9" t="str" cm="1">
        <f t="array" ref="N9">$C$2</f>
        <v>quantity</v>
      </c>
      <c r="O9" t="str" cm="1">
        <f t="array" ref="O9">$C$2</f>
        <v>quantity</v>
      </c>
      <c r="P9" t="str" cm="1">
        <f t="array" ref="P9">$C$2</f>
        <v>quantity</v>
      </c>
      <c r="Q9" t="str" cm="1">
        <f t="array" ref="Q9">$C$2</f>
        <v>quantity</v>
      </c>
      <c r="R9" t="str" cm="1">
        <f t="array" ref="R9">$C$2</f>
        <v>quantity</v>
      </c>
      <c r="S9" t="str" cm="1">
        <f t="array" ref="S9">$C$2</f>
        <v>quantity</v>
      </c>
      <c r="T9" t="str" cm="1">
        <f t="array" ref="T9">$C$2</f>
        <v>quantity</v>
      </c>
      <c r="U9" t="str" cm="1">
        <f t="array" ref="U9">$C$2</f>
        <v>quantity</v>
      </c>
      <c r="V9" t="str" cm="1">
        <f t="array" ref="V9">$C$2</f>
        <v>quantity</v>
      </c>
      <c r="W9" t="str" cm="1">
        <f t="array" ref="W9">$C$2</f>
        <v>quantity</v>
      </c>
      <c r="X9" t="str" cm="1">
        <f t="array" ref="X9">$C$2</f>
        <v>quantity</v>
      </c>
      <c r="Y9" t="str" cm="1">
        <f t="array" ref="Y9">$C$2</f>
        <v>quantity</v>
      </c>
      <c r="Z9" t="str" cm="1">
        <f t="array" ref="Z9">$C$2</f>
        <v>quantity</v>
      </c>
      <c r="AA9" t="str" cm="1">
        <f t="array" ref="AA9">$C$2</f>
        <v>quantity</v>
      </c>
      <c r="AB9" t="str" cm="1">
        <f t="array" ref="AB9">$C$2</f>
        <v>quantity</v>
      </c>
      <c r="AC9" t="str" cm="1">
        <f t="array" ref="AC9">$C$2</f>
        <v>quantity</v>
      </c>
      <c r="AD9" t="str" cm="1">
        <f t="array" ref="AD9">$C$2</f>
        <v>quantity</v>
      </c>
      <c r="AE9" t="str" cm="1">
        <f t="array" ref="AE9">$C$2</f>
        <v>quantity</v>
      </c>
      <c r="AF9" t="str" cm="1">
        <f t="array" ref="AF9">$C$2</f>
        <v>quantity</v>
      </c>
      <c r="AG9" t="str" cm="1">
        <f t="array" ref="AG9">$C$2</f>
        <v>quantity</v>
      </c>
      <c r="AH9" t="str" cm="1">
        <f t="array" ref="AH9">$C$2</f>
        <v>quantity</v>
      </c>
      <c r="AI9" t="str" cm="1">
        <f t="array" ref="AI9">$C$2</f>
        <v>quantity</v>
      </c>
    </row>
    <row r="10" spans="1:35" x14ac:dyDescent="0.25">
      <c r="A10">
        <v>1</v>
      </c>
      <c r="B10" t="s">
        <v>40</v>
      </c>
      <c r="D10" s="38">
        <v>1</v>
      </c>
      <c r="AI10" cm="1">
        <f t="array" ref="AI10">SUM(C10:AH10)</f>
        <v>1</v>
      </c>
    </row>
    <row r="11" spans="1:35" x14ac:dyDescent="0.25">
      <c r="A11">
        <v>2</v>
      </c>
      <c r="B11" t="s">
        <v>41</v>
      </c>
      <c r="AI11" cm="1">
        <f t="array" ref="AI11">SUM(C11:AH11)</f>
        <v>0</v>
      </c>
    </row>
    <row r="12" spans="1:35" x14ac:dyDescent="0.25">
      <c r="A12">
        <v>3</v>
      </c>
      <c r="B12" t="s">
        <v>42</v>
      </c>
      <c r="P12" s="38">
        <v>2</v>
      </c>
      <c r="R12" s="38">
        <v>2</v>
      </c>
      <c r="T12" s="38">
        <v>1</v>
      </c>
      <c r="U12" s="38">
        <v>1</v>
      </c>
      <c r="AA12" s="38">
        <v>1</v>
      </c>
      <c r="AB12" s="38">
        <v>2</v>
      </c>
      <c r="AH12" s="38">
        <v>2</v>
      </c>
      <c r="AI12" cm="1">
        <f t="array" ref="AI12">SUM(C12:AH12)</f>
        <v>11</v>
      </c>
    </row>
    <row r="13" spans="1:35" x14ac:dyDescent="0.25">
      <c r="A13">
        <v>4</v>
      </c>
      <c r="B13" t="s">
        <v>43</v>
      </c>
      <c r="D13" s="38">
        <v>1</v>
      </c>
      <c r="E13" s="38">
        <v>1</v>
      </c>
      <c r="Y13" s="38">
        <v>1</v>
      </c>
      <c r="AI13" cm="1">
        <f t="array" ref="AI13">SUM(C13:AH13)</f>
        <v>3</v>
      </c>
    </row>
    <row r="14" spans="1:35" x14ac:dyDescent="0.25">
      <c r="A14">
        <v>5</v>
      </c>
      <c r="B14" t="s">
        <v>44</v>
      </c>
      <c r="Z14" s="38">
        <v>1</v>
      </c>
      <c r="AI14" cm="1">
        <f t="array" ref="AI14">SUM(C14:AH14)</f>
        <v>1</v>
      </c>
    </row>
    <row r="15" spans="1:35" x14ac:dyDescent="0.25">
      <c r="A15">
        <v>6</v>
      </c>
      <c r="B15" t="s">
        <v>45</v>
      </c>
      <c r="K15" s="38">
        <v>2</v>
      </c>
      <c r="P15" s="38">
        <v>2</v>
      </c>
      <c r="W15" s="38">
        <v>1</v>
      </c>
      <c r="AC15" s="38">
        <v>1</v>
      </c>
      <c r="AE15" s="38">
        <v>1</v>
      </c>
      <c r="AH15" s="38">
        <v>1</v>
      </c>
      <c r="AI15" cm="1">
        <f t="array" ref="AI15">SUM(C15:AH15)</f>
        <v>8</v>
      </c>
    </row>
    <row r="16" spans="1:35" x14ac:dyDescent="0.25">
      <c r="A16">
        <v>7</v>
      </c>
      <c r="B16" t="s">
        <v>46</v>
      </c>
      <c r="G16" s="38">
        <v>1</v>
      </c>
      <c r="M16" s="38">
        <v>1</v>
      </c>
      <c r="P16" s="38">
        <v>2</v>
      </c>
      <c r="R16" s="38">
        <v>1</v>
      </c>
      <c r="U16" s="38">
        <v>1</v>
      </c>
      <c r="AA16" s="38">
        <v>1</v>
      </c>
      <c r="AC16" s="38">
        <v>2</v>
      </c>
      <c r="AG16" s="38">
        <v>1</v>
      </c>
      <c r="AI16" cm="1">
        <f t="array" ref="AI16">SUM(C16:AH16)</f>
        <v>10</v>
      </c>
    </row>
    <row r="17" spans="1:35" x14ac:dyDescent="0.25">
      <c r="A17">
        <v>8</v>
      </c>
      <c r="B17" t="s">
        <v>47</v>
      </c>
      <c r="C17" s="38">
        <v>4</v>
      </c>
      <c r="D17" s="38">
        <v>4</v>
      </c>
      <c r="E17" s="38">
        <v>1</v>
      </c>
      <c r="G17" s="38">
        <v>4</v>
      </c>
      <c r="K17" s="38">
        <v>10</v>
      </c>
      <c r="M17" s="38">
        <v>7</v>
      </c>
      <c r="N17" s="38">
        <v>1</v>
      </c>
      <c r="O17" s="38">
        <v>4</v>
      </c>
      <c r="P17" s="38">
        <v>4</v>
      </c>
      <c r="S17" s="38">
        <v>4</v>
      </c>
      <c r="U17" s="38">
        <v>2</v>
      </c>
      <c r="W17" s="38">
        <v>4</v>
      </c>
      <c r="X17" s="38">
        <v>4</v>
      </c>
      <c r="AA17" s="38">
        <v>5</v>
      </c>
      <c r="AC17" s="38">
        <v>5</v>
      </c>
      <c r="AE17" s="38">
        <v>4</v>
      </c>
      <c r="AG17" s="38">
        <v>4</v>
      </c>
      <c r="AI17" cm="1">
        <f t="array" ref="AI17">SUM(C17:AH17)</f>
        <v>71</v>
      </c>
    </row>
    <row r="18" spans="1:35" x14ac:dyDescent="0.25">
      <c r="A18">
        <v>9</v>
      </c>
      <c r="B18" t="s">
        <v>48</v>
      </c>
      <c r="AI18" cm="1">
        <f t="array" ref="AI18">SUM(C18:AH18)</f>
        <v>0</v>
      </c>
    </row>
    <row r="19" spans="1:35" x14ac:dyDescent="0.25">
      <c r="A19">
        <v>10</v>
      </c>
      <c r="B19" t="s">
        <v>49</v>
      </c>
      <c r="C19" s="38">
        <v>3</v>
      </c>
      <c r="D19" s="38">
        <v>5</v>
      </c>
      <c r="E19" s="38">
        <v>5</v>
      </c>
      <c r="F19" s="38">
        <v>2</v>
      </c>
      <c r="G19" s="38">
        <v>9</v>
      </c>
      <c r="H19" s="38">
        <v>3</v>
      </c>
      <c r="I19" s="38">
        <v>8</v>
      </c>
      <c r="J19" s="38">
        <v>3</v>
      </c>
      <c r="L19" s="38">
        <v>4</v>
      </c>
      <c r="N19" s="38">
        <v>4</v>
      </c>
      <c r="O19" s="38">
        <v>1</v>
      </c>
      <c r="P19" s="38">
        <v>2</v>
      </c>
      <c r="Q19" s="38">
        <v>2</v>
      </c>
      <c r="R19" s="38">
        <v>7</v>
      </c>
      <c r="S19" s="38">
        <v>1</v>
      </c>
      <c r="T19" s="38">
        <v>6</v>
      </c>
      <c r="U19" s="38">
        <v>1</v>
      </c>
      <c r="V19" s="38">
        <v>3</v>
      </c>
      <c r="X19" s="38">
        <v>3</v>
      </c>
      <c r="Z19" s="38">
        <v>3</v>
      </c>
      <c r="AA19" s="38">
        <v>4</v>
      </c>
      <c r="AC19" s="38">
        <v>3</v>
      </c>
      <c r="AE19" s="38">
        <v>5</v>
      </c>
      <c r="AF19" s="38">
        <v>6</v>
      </c>
      <c r="AG19" s="38">
        <v>2</v>
      </c>
      <c r="AH19" s="38">
        <v>3</v>
      </c>
      <c r="AI19" cm="1">
        <f t="array" ref="AI19">SUM(C19:AH19)</f>
        <v>98</v>
      </c>
    </row>
    <row r="20" spans="1:35" x14ac:dyDescent="0.25">
      <c r="A20">
        <v>11</v>
      </c>
      <c r="B20" t="s">
        <v>50</v>
      </c>
      <c r="F20" s="38">
        <v>2</v>
      </c>
      <c r="AI20" cm="1">
        <f t="array" ref="AI20">SUM(C20:AH20)</f>
        <v>2</v>
      </c>
    </row>
    <row r="21" spans="1:35" x14ac:dyDescent="0.25">
      <c r="A21">
        <v>12</v>
      </c>
      <c r="B21" t="s">
        <v>51</v>
      </c>
      <c r="H21" s="38">
        <v>1</v>
      </c>
      <c r="U21" s="38">
        <v>1</v>
      </c>
      <c r="AI21" cm="1">
        <f t="array" ref="AI21">SUM(C21:AH21)</f>
        <v>2</v>
      </c>
    </row>
    <row r="22" spans="1:35" x14ac:dyDescent="0.25">
      <c r="A22">
        <v>13</v>
      </c>
      <c r="B22" t="s">
        <v>52</v>
      </c>
      <c r="C22" s="38">
        <v>1</v>
      </c>
      <c r="Q22" s="38">
        <v>1</v>
      </c>
      <c r="R22" s="38">
        <v>2</v>
      </c>
      <c r="T22" s="38">
        <v>3</v>
      </c>
      <c r="U22" s="38">
        <v>2</v>
      </c>
      <c r="W22" s="38">
        <v>2</v>
      </c>
      <c r="X22" s="38">
        <v>2</v>
      </c>
      <c r="Z22" s="38">
        <v>2</v>
      </c>
      <c r="AA22" s="38">
        <v>2</v>
      </c>
      <c r="AB22" s="38">
        <v>3</v>
      </c>
      <c r="AD22" s="38">
        <v>4</v>
      </c>
      <c r="AI22" cm="1">
        <f t="array" ref="AI22">SUM(C22:AH22)</f>
        <v>24</v>
      </c>
    </row>
    <row r="23" spans="1:35" x14ac:dyDescent="0.25">
      <c r="A23">
        <v>14</v>
      </c>
      <c r="B23" t="s">
        <v>53</v>
      </c>
      <c r="AF23" s="38">
        <v>2</v>
      </c>
      <c r="AG23" s="38">
        <v>1</v>
      </c>
      <c r="AH23" s="38">
        <v>1</v>
      </c>
      <c r="AI23" cm="1">
        <f t="array" ref="AI23">SUM(C23:AH23)</f>
        <v>4</v>
      </c>
    </row>
    <row r="24" spans="1:35" x14ac:dyDescent="0.25">
      <c r="A24">
        <v>15</v>
      </c>
      <c r="B24" t="s">
        <v>54</v>
      </c>
      <c r="K24" s="38">
        <v>1</v>
      </c>
      <c r="Z24" s="38">
        <v>1</v>
      </c>
      <c r="AI24" cm="1">
        <f t="array" ref="AI24">SUM(C24:AH24)</f>
        <v>2</v>
      </c>
    </row>
    <row r="25" spans="1:35" x14ac:dyDescent="0.25">
      <c r="A25">
        <v>16</v>
      </c>
      <c r="B25" t="s">
        <v>55</v>
      </c>
      <c r="C25" s="38">
        <v>8</v>
      </c>
      <c r="D25" s="38">
        <v>2</v>
      </c>
      <c r="E25" s="38">
        <v>1</v>
      </c>
      <c r="F25" s="38">
        <v>2</v>
      </c>
      <c r="G25" s="38">
        <v>4</v>
      </c>
      <c r="H25" s="38">
        <v>1</v>
      </c>
      <c r="I25" s="38">
        <v>7</v>
      </c>
      <c r="K25" s="38">
        <v>2</v>
      </c>
      <c r="L25" s="38">
        <v>3</v>
      </c>
      <c r="M25" s="38">
        <v>2</v>
      </c>
      <c r="N25" s="38">
        <v>5</v>
      </c>
      <c r="O25" s="38">
        <v>7</v>
      </c>
      <c r="Q25" s="38">
        <v>3</v>
      </c>
      <c r="R25" s="38">
        <v>2</v>
      </c>
      <c r="T25" s="38">
        <v>3</v>
      </c>
      <c r="U25" s="38">
        <v>1</v>
      </c>
      <c r="V25" s="38">
        <v>2</v>
      </c>
      <c r="X25" s="38">
        <v>2</v>
      </c>
      <c r="Y25" s="38">
        <v>1</v>
      </c>
      <c r="Z25" s="38">
        <v>3</v>
      </c>
      <c r="AA25" s="38">
        <v>4</v>
      </c>
      <c r="AC25" s="38">
        <v>2</v>
      </c>
      <c r="AD25" s="38">
        <v>3</v>
      </c>
      <c r="AE25" s="38">
        <v>4</v>
      </c>
      <c r="AF25" s="38">
        <v>1</v>
      </c>
      <c r="AG25" s="38">
        <v>3</v>
      </c>
      <c r="AI25" cm="1">
        <f t="array" ref="AI25">SUM(C25:AH25)</f>
        <v>78</v>
      </c>
    </row>
    <row r="26" spans="1:35" x14ac:dyDescent="0.25">
      <c r="A26">
        <v>17</v>
      </c>
      <c r="B26" t="s">
        <v>56</v>
      </c>
      <c r="R26" s="38">
        <v>1</v>
      </c>
      <c r="AI26" cm="1">
        <f t="array" ref="AI26">SUM(C26:AH26)</f>
        <v>1</v>
      </c>
    </row>
    <row r="27" spans="1:35" x14ac:dyDescent="0.25">
      <c r="A27">
        <v>18</v>
      </c>
      <c r="B27" t="s">
        <v>57</v>
      </c>
      <c r="J27" s="38">
        <v>1</v>
      </c>
      <c r="N27" s="38">
        <v>11</v>
      </c>
      <c r="T27" s="38">
        <v>2</v>
      </c>
      <c r="AA27" s="38">
        <v>1</v>
      </c>
      <c r="AC27" s="38">
        <v>5</v>
      </c>
      <c r="AG27" s="38">
        <v>7</v>
      </c>
      <c r="AI27" cm="1">
        <f t="array" ref="AI27">SUM(C27:AH27)</f>
        <v>27</v>
      </c>
    </row>
    <row r="28" spans="1:35" x14ac:dyDescent="0.25">
      <c r="A28">
        <v>19</v>
      </c>
      <c r="B28" t="s">
        <v>58</v>
      </c>
      <c r="C28" s="38">
        <v>9</v>
      </c>
      <c r="D28" s="38">
        <v>7</v>
      </c>
      <c r="E28" s="38">
        <v>10</v>
      </c>
      <c r="F28" s="38">
        <v>5</v>
      </c>
      <c r="G28" s="38">
        <v>12</v>
      </c>
      <c r="H28" s="38">
        <v>3</v>
      </c>
      <c r="I28" s="38">
        <v>20</v>
      </c>
      <c r="J28" s="38">
        <v>11</v>
      </c>
      <c r="K28" s="38">
        <v>11</v>
      </c>
      <c r="L28" s="38">
        <v>10</v>
      </c>
      <c r="M28" s="38">
        <v>9</v>
      </c>
      <c r="O28" s="38">
        <v>7</v>
      </c>
      <c r="P28" s="38">
        <v>10</v>
      </c>
      <c r="Q28" s="38">
        <v>6</v>
      </c>
      <c r="R28" s="38">
        <v>9</v>
      </c>
      <c r="S28" s="38">
        <v>9</v>
      </c>
      <c r="T28" s="38">
        <v>11</v>
      </c>
      <c r="U28" s="38">
        <v>12</v>
      </c>
      <c r="V28" s="38">
        <v>9</v>
      </c>
      <c r="W28" s="38">
        <v>8</v>
      </c>
      <c r="X28" s="38">
        <v>9</v>
      </c>
      <c r="Y28" s="38">
        <v>4</v>
      </c>
      <c r="Z28" s="38">
        <v>8</v>
      </c>
      <c r="AA28" s="38">
        <v>13</v>
      </c>
      <c r="AB28" s="38">
        <v>6</v>
      </c>
      <c r="AC28" s="38">
        <v>10</v>
      </c>
      <c r="AD28" s="38">
        <v>8</v>
      </c>
      <c r="AE28" s="38">
        <v>8</v>
      </c>
      <c r="AF28" s="38">
        <v>12</v>
      </c>
      <c r="AH28" s="38">
        <v>9</v>
      </c>
      <c r="AI28" cm="1">
        <f t="array" ref="AI28">SUM(C28:AH28)</f>
        <v>275</v>
      </c>
    </row>
    <row r="29" spans="1:35" x14ac:dyDescent="0.25">
      <c r="A29">
        <v>20</v>
      </c>
      <c r="B29" t="s">
        <v>59</v>
      </c>
      <c r="AI29" cm="1">
        <f t="array" ref="AI29">SUM(C29:AH29)</f>
        <v>0</v>
      </c>
    </row>
    <row r="30" spans="1:35" x14ac:dyDescent="0.25">
      <c r="A30">
        <v>21</v>
      </c>
      <c r="B30" t="s">
        <v>60</v>
      </c>
      <c r="AI30" cm="1">
        <f t="array" ref="AI30">SUM(C30:AH30)</f>
        <v>0</v>
      </c>
    </row>
    <row r="31" spans="1:35" x14ac:dyDescent="0.25">
      <c r="A31">
        <v>22</v>
      </c>
      <c r="B31" t="s">
        <v>61</v>
      </c>
      <c r="C31" s="38">
        <v>5</v>
      </c>
      <c r="D31" s="38">
        <v>5</v>
      </c>
      <c r="E31" s="38">
        <v>7</v>
      </c>
      <c r="F31" s="38">
        <v>2</v>
      </c>
      <c r="G31" s="38">
        <v>7</v>
      </c>
      <c r="H31" s="38">
        <v>6</v>
      </c>
      <c r="I31" s="38">
        <v>6</v>
      </c>
      <c r="J31" s="38">
        <v>7</v>
      </c>
      <c r="K31" s="38">
        <v>7</v>
      </c>
      <c r="L31" s="38">
        <v>3</v>
      </c>
      <c r="M31" s="38">
        <v>4</v>
      </c>
      <c r="N31" s="38">
        <v>5</v>
      </c>
      <c r="O31" s="38">
        <v>2</v>
      </c>
      <c r="P31" s="38">
        <v>5</v>
      </c>
      <c r="Q31" s="38">
        <v>4</v>
      </c>
      <c r="R31" s="38">
        <v>6</v>
      </c>
      <c r="S31" s="38">
        <v>5</v>
      </c>
      <c r="T31" s="38">
        <v>4</v>
      </c>
      <c r="U31" s="38">
        <v>6</v>
      </c>
      <c r="V31" s="38">
        <v>5</v>
      </c>
      <c r="X31" s="38">
        <v>1</v>
      </c>
      <c r="Y31" s="38">
        <v>4</v>
      </c>
      <c r="Z31" s="38">
        <v>4</v>
      </c>
      <c r="AA31" s="38">
        <v>8</v>
      </c>
      <c r="AB31" s="38">
        <v>4</v>
      </c>
      <c r="AC31" s="38">
        <v>4</v>
      </c>
      <c r="AD31" s="38">
        <v>4</v>
      </c>
      <c r="AE31" s="38">
        <v>7</v>
      </c>
      <c r="AF31" s="38">
        <v>2</v>
      </c>
      <c r="AG31" s="38">
        <v>7</v>
      </c>
      <c r="AI31" cm="1">
        <f t="array" ref="AI31">SUM(C31:AH31)</f>
        <v>146</v>
      </c>
    </row>
    <row r="32" spans="1:35" x14ac:dyDescent="0.25">
      <c r="A32">
        <v>23</v>
      </c>
      <c r="B32" t="s">
        <v>62</v>
      </c>
      <c r="E32" s="38">
        <v>20</v>
      </c>
      <c r="H32" s="38">
        <v>10</v>
      </c>
      <c r="L32" s="38">
        <v>10</v>
      </c>
      <c r="N32" s="38">
        <v>10</v>
      </c>
      <c r="O32" s="38">
        <v>10</v>
      </c>
      <c r="Q32" s="38">
        <v>10</v>
      </c>
      <c r="T32" s="38">
        <v>10</v>
      </c>
      <c r="V32" s="38">
        <v>10</v>
      </c>
      <c r="X32" s="38">
        <v>10</v>
      </c>
      <c r="Z32" s="38">
        <v>10</v>
      </c>
      <c r="AA32" s="38">
        <v>10</v>
      </c>
      <c r="AC32" s="38">
        <v>10</v>
      </c>
      <c r="AE32" s="38">
        <v>10</v>
      </c>
      <c r="AG32" s="38">
        <v>10</v>
      </c>
      <c r="AH32" s="38">
        <v>10</v>
      </c>
      <c r="AI32" cm="1">
        <f t="array" ref="AI32">SUM(C32:AH32)</f>
        <v>160</v>
      </c>
    </row>
    <row r="33" spans="1:35" x14ac:dyDescent="0.25">
      <c r="A33">
        <v>24</v>
      </c>
      <c r="B33" t="s">
        <v>63</v>
      </c>
      <c r="C33" s="38">
        <v>1</v>
      </c>
      <c r="I33" s="38">
        <v>1</v>
      </c>
      <c r="L33" s="38">
        <v>2</v>
      </c>
      <c r="O33" s="38">
        <v>1</v>
      </c>
      <c r="T33" s="38">
        <v>1</v>
      </c>
      <c r="Y33" s="38">
        <v>1</v>
      </c>
      <c r="Z33" s="38">
        <v>2</v>
      </c>
      <c r="AE33" s="38">
        <v>1</v>
      </c>
      <c r="AI33" cm="1">
        <f t="array" ref="AI33">SUM(C33:AH33)</f>
        <v>10</v>
      </c>
    </row>
    <row r="34" spans="1:35" x14ac:dyDescent="0.25">
      <c r="A34">
        <v>25</v>
      </c>
      <c r="B34" t="s">
        <v>64</v>
      </c>
      <c r="D34" s="38">
        <v>10</v>
      </c>
      <c r="G34" s="38">
        <v>2</v>
      </c>
      <c r="L34" s="38">
        <v>4</v>
      </c>
      <c r="N34" s="38">
        <v>4</v>
      </c>
      <c r="O34" s="38">
        <v>7</v>
      </c>
      <c r="X34" s="38">
        <v>2</v>
      </c>
      <c r="Y34" s="38">
        <v>3</v>
      </c>
      <c r="AI34" cm="1">
        <f t="array" ref="AI34">SUM(C34:AH34)</f>
        <v>32</v>
      </c>
    </row>
    <row r="35" spans="1:35" x14ac:dyDescent="0.25">
      <c r="A35">
        <v>26</v>
      </c>
      <c r="B35" t="s">
        <v>65</v>
      </c>
      <c r="I35" s="38">
        <v>6</v>
      </c>
      <c r="J35" s="38">
        <v>4</v>
      </c>
      <c r="L35" s="38">
        <v>3</v>
      </c>
      <c r="M35" s="38">
        <v>4</v>
      </c>
      <c r="N35" s="38">
        <v>4</v>
      </c>
      <c r="O35" s="38">
        <v>1</v>
      </c>
      <c r="P35" s="38">
        <v>4</v>
      </c>
      <c r="S35" s="38">
        <v>11</v>
      </c>
      <c r="T35" s="38">
        <v>3</v>
      </c>
      <c r="V35" s="38">
        <v>1</v>
      </c>
      <c r="X35" s="38">
        <v>1</v>
      </c>
      <c r="Z35" s="38">
        <v>3</v>
      </c>
      <c r="AC35" s="38">
        <v>1</v>
      </c>
      <c r="AI35" cm="1">
        <f t="array" ref="AI35">SUM(C35:AH35)</f>
        <v>46</v>
      </c>
    </row>
    <row r="36" spans="1:35" x14ac:dyDescent="0.25">
      <c r="A36">
        <v>27</v>
      </c>
      <c r="B36" t="s">
        <v>66</v>
      </c>
      <c r="C36" s="38">
        <v>1</v>
      </c>
      <c r="D36" s="38">
        <v>1</v>
      </c>
      <c r="G36" s="38">
        <v>6</v>
      </c>
      <c r="H36" s="38">
        <v>4</v>
      </c>
      <c r="I36" s="38">
        <v>6</v>
      </c>
      <c r="O36" s="38">
        <v>2</v>
      </c>
      <c r="Q36" s="38">
        <v>1</v>
      </c>
      <c r="R36" s="38">
        <v>1</v>
      </c>
      <c r="S36" s="38">
        <v>1</v>
      </c>
      <c r="AA36" s="38">
        <v>6</v>
      </c>
      <c r="AC36" s="38">
        <v>2</v>
      </c>
      <c r="AE36" s="38">
        <v>5</v>
      </c>
      <c r="AI36" cm="1">
        <f t="array" ref="AI36">SUM(C36:AH36)</f>
        <v>36</v>
      </c>
    </row>
    <row r="37" spans="1:35" x14ac:dyDescent="0.25">
      <c r="A37">
        <v>28</v>
      </c>
      <c r="B37" t="s">
        <v>67</v>
      </c>
      <c r="G37" s="38">
        <v>6</v>
      </c>
      <c r="H37" s="38">
        <v>12</v>
      </c>
      <c r="L37" s="38">
        <v>1</v>
      </c>
      <c r="M37" s="38">
        <v>1</v>
      </c>
      <c r="P37" s="38">
        <v>2</v>
      </c>
      <c r="R37" s="38">
        <v>2</v>
      </c>
      <c r="AI37" cm="1">
        <f t="array" ref="AI37">SUM(C37:AH37)</f>
        <v>24</v>
      </c>
    </row>
    <row r="38" spans="1:35" x14ac:dyDescent="0.25">
      <c r="A38">
        <v>29</v>
      </c>
      <c r="B38" t="s">
        <v>68</v>
      </c>
      <c r="R38" s="38">
        <v>2</v>
      </c>
      <c r="S38" s="38">
        <v>1</v>
      </c>
      <c r="AB38" s="38">
        <v>2</v>
      </c>
      <c r="AC38" s="38">
        <v>1</v>
      </c>
      <c r="AI38" cm="1">
        <f t="array" ref="AI38">SUM(C38:AH38)</f>
        <v>6</v>
      </c>
    </row>
    <row r="39" spans="1:35" x14ac:dyDescent="0.25">
      <c r="A39">
        <v>30</v>
      </c>
      <c r="B39" t="s">
        <v>69</v>
      </c>
      <c r="AI39" cm="1">
        <f t="array" ref="AI39">SUM(C39:AH39)</f>
        <v>0</v>
      </c>
    </row>
    <row r="40" spans="1:35" x14ac:dyDescent="0.25">
      <c r="A40">
        <v>31</v>
      </c>
      <c r="B40" t="s">
        <v>70</v>
      </c>
      <c r="AI40" cm="1">
        <f t="array" ref="AI40">SUM(C40:AH40)</f>
        <v>0</v>
      </c>
    </row>
    <row r="41" spans="1:35" x14ac:dyDescent="0.25">
      <c r="A41">
        <v>32</v>
      </c>
      <c r="B41" t="s">
        <v>71</v>
      </c>
      <c r="D41" s="38">
        <v>1</v>
      </c>
      <c r="G41" s="38">
        <v>2</v>
      </c>
      <c r="I41" s="38">
        <v>1</v>
      </c>
      <c r="L41" s="38">
        <v>1</v>
      </c>
      <c r="N41" s="38">
        <v>1</v>
      </c>
      <c r="AA41" s="38">
        <v>2</v>
      </c>
      <c r="AC41" s="38">
        <v>1</v>
      </c>
      <c r="AI41" cm="1">
        <f t="array" ref="AI41">SUM(C41:AH41)</f>
        <v>9</v>
      </c>
    </row>
    <row r="42" spans="1:35" x14ac:dyDescent="0.25">
      <c r="A42">
        <v>33</v>
      </c>
      <c r="B42" t="s">
        <v>72</v>
      </c>
      <c r="E42" s="38">
        <v>1</v>
      </c>
      <c r="N42" s="38">
        <v>1</v>
      </c>
      <c r="Y42" s="38">
        <v>1</v>
      </c>
      <c r="AI42" cm="1">
        <f t="array" ref="AI42">SUM(C42:AH42)</f>
        <v>3</v>
      </c>
    </row>
    <row r="43" spans="1:35" x14ac:dyDescent="0.25">
      <c r="A43">
        <v>34</v>
      </c>
      <c r="B43" t="s">
        <v>73</v>
      </c>
      <c r="C43" s="38">
        <v>3</v>
      </c>
      <c r="G43" s="38">
        <v>4</v>
      </c>
      <c r="H43" s="38">
        <v>2</v>
      </c>
      <c r="I43" s="38">
        <v>2</v>
      </c>
      <c r="J43" s="38">
        <v>2</v>
      </c>
      <c r="K43" s="38">
        <v>4</v>
      </c>
      <c r="M43" s="38">
        <v>5</v>
      </c>
      <c r="N43" s="38">
        <v>7</v>
      </c>
      <c r="O43" s="38">
        <v>8</v>
      </c>
      <c r="P43" s="38">
        <v>11</v>
      </c>
      <c r="R43" s="38">
        <v>7</v>
      </c>
      <c r="S43" s="38">
        <v>2</v>
      </c>
      <c r="U43" s="38">
        <v>2</v>
      </c>
      <c r="V43" s="38">
        <v>18</v>
      </c>
      <c r="W43" s="38">
        <v>22</v>
      </c>
      <c r="X43" s="38">
        <v>21</v>
      </c>
      <c r="Y43" s="38">
        <v>30</v>
      </c>
      <c r="Z43" s="38">
        <v>27</v>
      </c>
      <c r="AA43" s="38">
        <v>16</v>
      </c>
      <c r="AB43" s="38">
        <v>1</v>
      </c>
      <c r="AC43" s="38">
        <v>2</v>
      </c>
      <c r="AE43" s="38">
        <v>2</v>
      </c>
      <c r="AF43" s="38">
        <v>4</v>
      </c>
      <c r="AG43" s="38">
        <v>3</v>
      </c>
      <c r="AH43" s="38">
        <v>10</v>
      </c>
      <c r="AI43" cm="1">
        <f t="array" ref="AI43">SUM(C43:AH43)</f>
        <v>215</v>
      </c>
    </row>
    <row r="44" spans="1:35" x14ac:dyDescent="0.25">
      <c r="A44">
        <v>35</v>
      </c>
      <c r="B44" t="s">
        <v>74</v>
      </c>
      <c r="J44" s="38">
        <v>1</v>
      </c>
      <c r="K44" s="38">
        <v>1</v>
      </c>
      <c r="N44" s="38">
        <v>1</v>
      </c>
      <c r="P44" s="38">
        <v>5</v>
      </c>
      <c r="R44" s="38">
        <v>5</v>
      </c>
      <c r="T44" s="38">
        <v>10</v>
      </c>
      <c r="W44" s="38">
        <v>21</v>
      </c>
      <c r="X44" s="38">
        <v>13</v>
      </c>
      <c r="Y44" s="38">
        <v>17</v>
      </c>
      <c r="Z44" s="38">
        <v>13</v>
      </c>
      <c r="AA44" s="38">
        <v>6</v>
      </c>
      <c r="AE44" s="38">
        <v>1</v>
      </c>
      <c r="AF44" s="38">
        <v>3</v>
      </c>
      <c r="AH44" s="38">
        <v>3</v>
      </c>
      <c r="AI44" cm="1">
        <f t="array" ref="AI44">SUM(C44:AH44)</f>
        <v>100</v>
      </c>
    </row>
    <row r="45" spans="1:35" x14ac:dyDescent="0.25">
      <c r="A45">
        <v>36</v>
      </c>
      <c r="B45" t="s">
        <v>75</v>
      </c>
      <c r="D45" s="38">
        <v>5</v>
      </c>
      <c r="I45" s="38">
        <v>3</v>
      </c>
      <c r="M45" s="38">
        <v>1</v>
      </c>
      <c r="O45" s="38">
        <v>2</v>
      </c>
      <c r="U45" s="38">
        <v>2</v>
      </c>
      <c r="AC45" s="38">
        <v>2</v>
      </c>
      <c r="AI45" cm="1">
        <f t="array" ref="AI45">SUM(C45:AH45)</f>
        <v>15</v>
      </c>
    </row>
    <row r="46" spans="1:35" x14ac:dyDescent="0.25">
      <c r="A46">
        <v>37</v>
      </c>
      <c r="B46" t="s">
        <v>76</v>
      </c>
      <c r="AB46" s="38">
        <v>2</v>
      </c>
      <c r="AI46" cm="1">
        <f t="array" ref="AI46">SUM(C46:AH46)</f>
        <v>2</v>
      </c>
    </row>
    <row r="47" spans="1:35" x14ac:dyDescent="0.25">
      <c r="A47">
        <v>38</v>
      </c>
      <c r="B47" t="s">
        <v>77</v>
      </c>
      <c r="AF47" s="38">
        <v>2</v>
      </c>
      <c r="AI47" cm="1">
        <f t="array" ref="AI47">SUM(C47:AH47)</f>
        <v>2</v>
      </c>
    </row>
    <row r="48" spans="1:35" x14ac:dyDescent="0.25">
      <c r="A48">
        <v>39</v>
      </c>
      <c r="B48" t="s">
        <v>78</v>
      </c>
      <c r="C48" s="38">
        <v>1</v>
      </c>
      <c r="Q48" s="38">
        <v>1</v>
      </c>
      <c r="AA48" s="38">
        <v>1</v>
      </c>
      <c r="AI48" cm="1">
        <f t="array" ref="AI48">SUM(C48:AH48)</f>
        <v>3</v>
      </c>
    </row>
    <row r="49" spans="1:35" x14ac:dyDescent="0.25">
      <c r="A49">
        <v>40</v>
      </c>
      <c r="B49" t="s">
        <v>79</v>
      </c>
      <c r="E49" s="38">
        <v>1</v>
      </c>
      <c r="P49" s="38">
        <v>1</v>
      </c>
      <c r="R49" s="38">
        <v>1</v>
      </c>
      <c r="Z49" s="38">
        <v>1</v>
      </c>
      <c r="AD49" s="38">
        <v>1</v>
      </c>
      <c r="AI49" cm="1">
        <f t="array" ref="AI49">SUM(C49:AH49)</f>
        <v>5</v>
      </c>
    </row>
    <row r="50" spans="1:35" x14ac:dyDescent="0.25">
      <c r="A50">
        <v>41</v>
      </c>
      <c r="B50" t="s">
        <v>80</v>
      </c>
      <c r="E50" s="38">
        <v>1</v>
      </c>
      <c r="R50" s="38">
        <v>1</v>
      </c>
      <c r="T50" s="38">
        <v>1</v>
      </c>
      <c r="AB50" s="38">
        <v>1</v>
      </c>
      <c r="AD50" s="38">
        <v>1</v>
      </c>
      <c r="AI50" cm="1">
        <f t="array" ref="AI50">SUM(C50:AH50)</f>
        <v>5</v>
      </c>
    </row>
    <row r="51" spans="1:35" x14ac:dyDescent="0.25">
      <c r="A51">
        <v>42</v>
      </c>
      <c r="B51" t="s">
        <v>81</v>
      </c>
      <c r="C51" s="38">
        <v>1</v>
      </c>
      <c r="E51" s="38">
        <v>1</v>
      </c>
      <c r="K51" s="38">
        <v>2</v>
      </c>
      <c r="R51" s="38">
        <v>3</v>
      </c>
      <c r="S51" s="38">
        <v>1</v>
      </c>
      <c r="U51" s="38">
        <v>1</v>
      </c>
      <c r="W51" s="38">
        <v>1</v>
      </c>
      <c r="AA51" s="38">
        <v>3</v>
      </c>
      <c r="AC51" s="38">
        <v>3</v>
      </c>
      <c r="AE51" s="38">
        <v>1</v>
      </c>
      <c r="AG51" s="38">
        <v>2</v>
      </c>
      <c r="AI51" cm="1">
        <f t="array" ref="AI51">SUM(C51:AH51)</f>
        <v>19</v>
      </c>
    </row>
    <row r="52" spans="1:35" x14ac:dyDescent="0.25">
      <c r="A52">
        <v>43</v>
      </c>
      <c r="B52" t="s">
        <v>82</v>
      </c>
      <c r="D52" s="38">
        <v>1</v>
      </c>
      <c r="G52" s="38">
        <v>5</v>
      </c>
      <c r="H52" s="38">
        <v>18</v>
      </c>
      <c r="I52" s="38">
        <v>7</v>
      </c>
      <c r="K52" s="38">
        <v>2</v>
      </c>
      <c r="N52" s="38">
        <v>1</v>
      </c>
      <c r="P52" s="38">
        <v>2</v>
      </c>
      <c r="S52" s="38">
        <v>2</v>
      </c>
      <c r="T52" s="38">
        <v>2</v>
      </c>
      <c r="AI52" cm="1">
        <f t="array" ref="AI52">SUM(C52:AH52)</f>
        <v>40</v>
      </c>
    </row>
    <row r="53" spans="1:35" x14ac:dyDescent="0.25">
      <c r="A53">
        <v>44</v>
      </c>
      <c r="B53" t="s">
        <v>83</v>
      </c>
      <c r="C53" s="38">
        <v>2</v>
      </c>
      <c r="D53" s="38">
        <v>3</v>
      </c>
      <c r="E53" s="38">
        <v>3</v>
      </c>
      <c r="F53" s="38">
        <v>3</v>
      </c>
      <c r="G53" s="38">
        <v>6</v>
      </c>
      <c r="H53" s="38">
        <v>2</v>
      </c>
      <c r="I53" s="38">
        <v>11</v>
      </c>
      <c r="J53" s="38">
        <v>5</v>
      </c>
      <c r="K53" s="38">
        <v>2</v>
      </c>
      <c r="L53" s="38">
        <v>3</v>
      </c>
      <c r="M53" s="38">
        <v>6</v>
      </c>
      <c r="N53" s="38">
        <v>5</v>
      </c>
      <c r="O53" s="38">
        <v>1</v>
      </c>
      <c r="P53" s="38">
        <v>2</v>
      </c>
      <c r="Q53" s="38">
        <v>8</v>
      </c>
      <c r="R53" s="38">
        <v>2</v>
      </c>
      <c r="S53" s="38">
        <v>10</v>
      </c>
      <c r="T53" s="38">
        <v>4</v>
      </c>
      <c r="U53" s="38">
        <v>1</v>
      </c>
      <c r="V53" s="38">
        <v>3</v>
      </c>
      <c r="W53" s="38">
        <v>4</v>
      </c>
      <c r="X53" s="38">
        <v>2</v>
      </c>
      <c r="Y53" s="38">
        <v>2</v>
      </c>
      <c r="Z53" s="38">
        <v>2</v>
      </c>
      <c r="AI53" cm="1">
        <f t="array" ref="AI53">SUM(C53:AH53)</f>
        <v>92</v>
      </c>
    </row>
    <row r="54" spans="1:35" x14ac:dyDescent="0.25">
      <c r="A54">
        <v>45</v>
      </c>
      <c r="B54" t="s">
        <v>84</v>
      </c>
      <c r="E54" s="38">
        <v>1</v>
      </c>
      <c r="F54" s="38">
        <v>1</v>
      </c>
      <c r="H54" s="38">
        <v>1</v>
      </c>
      <c r="I54" s="38">
        <v>1</v>
      </c>
      <c r="P54" s="38">
        <v>1</v>
      </c>
      <c r="Q54" s="38">
        <v>2</v>
      </c>
      <c r="R54" s="38">
        <v>2</v>
      </c>
      <c r="S54" s="38">
        <v>1</v>
      </c>
      <c r="AI54" cm="1">
        <f t="array" ref="AI54">SUM(C54:AH54)</f>
        <v>10</v>
      </c>
    </row>
    <row r="55" spans="1:35" x14ac:dyDescent="0.25">
      <c r="A55">
        <v>46</v>
      </c>
      <c r="B55" t="s">
        <v>85</v>
      </c>
      <c r="C55" s="38">
        <v>60</v>
      </c>
      <c r="D55" s="38">
        <v>60</v>
      </c>
      <c r="E55" s="38">
        <v>60</v>
      </c>
      <c r="F55" s="38">
        <v>50</v>
      </c>
      <c r="G55" s="38">
        <v>54</v>
      </c>
      <c r="H55" s="38">
        <v>6</v>
      </c>
      <c r="I55" s="38">
        <v>120</v>
      </c>
      <c r="J55" s="38">
        <v>30</v>
      </c>
      <c r="K55" s="38">
        <v>70</v>
      </c>
      <c r="L55" s="38">
        <v>90</v>
      </c>
      <c r="M55" s="38">
        <v>50</v>
      </c>
      <c r="N55" s="38">
        <v>60</v>
      </c>
      <c r="O55" s="38">
        <v>40</v>
      </c>
      <c r="P55" s="38">
        <v>80</v>
      </c>
      <c r="Q55" s="38">
        <v>50</v>
      </c>
      <c r="R55" s="38">
        <v>60</v>
      </c>
      <c r="S55" s="38">
        <v>50</v>
      </c>
      <c r="T55" s="38">
        <v>60</v>
      </c>
      <c r="U55" s="38">
        <v>70</v>
      </c>
      <c r="V55" s="38">
        <v>30</v>
      </c>
      <c r="W55" s="38">
        <v>75</v>
      </c>
      <c r="X55" s="38">
        <v>75</v>
      </c>
      <c r="Y55" s="38">
        <v>50</v>
      </c>
      <c r="Z55" s="38">
        <v>55</v>
      </c>
      <c r="AA55" s="38">
        <v>75</v>
      </c>
      <c r="AB55" s="38">
        <v>35</v>
      </c>
      <c r="AC55" s="38">
        <v>60</v>
      </c>
      <c r="AD55" s="38">
        <v>60</v>
      </c>
      <c r="AE55" s="38">
        <v>60</v>
      </c>
      <c r="AF55" s="38">
        <v>40</v>
      </c>
      <c r="AG55" s="38">
        <v>60</v>
      </c>
      <c r="AH55" s="38">
        <v>20</v>
      </c>
      <c r="AI55" cm="1">
        <f t="array" ref="AI55">SUM(C55:AH55)</f>
        <v>1815</v>
      </c>
    </row>
    <row r="56" spans="1:35" x14ac:dyDescent="0.25">
      <c r="A56">
        <v>47</v>
      </c>
      <c r="B56" t="s">
        <v>86</v>
      </c>
      <c r="E56" s="38">
        <v>1</v>
      </c>
      <c r="L56" s="38">
        <v>1</v>
      </c>
      <c r="O56" s="38">
        <v>1</v>
      </c>
      <c r="Z56" s="38">
        <v>2</v>
      </c>
      <c r="AI56" cm="1">
        <f t="array" ref="AI56">SUM(C56:AH56)</f>
        <v>5</v>
      </c>
    </row>
    <row r="57" spans="1:35" x14ac:dyDescent="0.25">
      <c r="A57">
        <v>48</v>
      </c>
      <c r="B57" t="s">
        <v>87</v>
      </c>
      <c r="C57" s="38">
        <v>2</v>
      </c>
      <c r="F57" s="38">
        <v>1</v>
      </c>
      <c r="G57" s="38">
        <v>1</v>
      </c>
      <c r="K57" s="38">
        <v>3</v>
      </c>
      <c r="L57" s="38">
        <v>2</v>
      </c>
      <c r="M57" s="38">
        <v>2</v>
      </c>
      <c r="O57" s="38">
        <v>3</v>
      </c>
      <c r="P57" s="38">
        <v>3</v>
      </c>
      <c r="S57" s="38">
        <v>1</v>
      </c>
      <c r="W57" s="38">
        <v>2</v>
      </c>
      <c r="Y57" s="38">
        <v>2</v>
      </c>
      <c r="Z57" s="38">
        <v>3</v>
      </c>
      <c r="AB57" s="38">
        <v>2</v>
      </c>
      <c r="AC57" s="38">
        <v>1</v>
      </c>
      <c r="AD57" s="38">
        <v>1</v>
      </c>
      <c r="AG57" s="38">
        <v>1</v>
      </c>
      <c r="AI57" cm="1">
        <f t="array" ref="AI57">SUM(C57:AH57)</f>
        <v>30</v>
      </c>
    </row>
    <row r="58" spans="1:35" x14ac:dyDescent="0.25">
      <c r="A58">
        <v>49</v>
      </c>
      <c r="B58" t="s">
        <v>88</v>
      </c>
      <c r="D58" s="38">
        <v>1</v>
      </c>
      <c r="T58" s="38">
        <v>2</v>
      </c>
      <c r="Y58" s="38">
        <v>2</v>
      </c>
      <c r="AI58" cm="1">
        <f t="array" ref="AI58">SUM(C58:AH58)</f>
        <v>5</v>
      </c>
    </row>
    <row r="59" spans="1:35" x14ac:dyDescent="0.25">
      <c r="A59">
        <v>50</v>
      </c>
      <c r="B59" t="s">
        <v>89</v>
      </c>
      <c r="D59" s="38">
        <v>2</v>
      </c>
      <c r="E59" s="38">
        <v>2</v>
      </c>
      <c r="G59" s="38">
        <v>4</v>
      </c>
      <c r="J59" s="38">
        <v>1</v>
      </c>
      <c r="AI59" cm="1">
        <f t="array" ref="AI59">SUM(C59:AH59)</f>
        <v>9</v>
      </c>
    </row>
    <row r="60" spans="1:35" x14ac:dyDescent="0.25">
      <c r="A60">
        <v>51</v>
      </c>
      <c r="B60" t="s">
        <v>90</v>
      </c>
      <c r="F60" s="38">
        <v>2</v>
      </c>
      <c r="AI60" cm="1">
        <f t="array" ref="AI60">SUM(C60:AH60)</f>
        <v>2</v>
      </c>
    </row>
    <row r="61" spans="1:35" x14ac:dyDescent="0.25">
      <c r="A61">
        <v>52</v>
      </c>
      <c r="B61" t="s">
        <v>91</v>
      </c>
      <c r="G61" s="38">
        <v>2</v>
      </c>
      <c r="H61" s="38">
        <v>2</v>
      </c>
      <c r="I61" s="38">
        <v>2</v>
      </c>
      <c r="J61" s="38">
        <v>2</v>
      </c>
      <c r="AI61" cm="1">
        <f t="array" ref="AI61">SUM(C61:AH61)</f>
        <v>8</v>
      </c>
    </row>
    <row r="62" spans="1:35" x14ac:dyDescent="0.25">
      <c r="A62">
        <v>53</v>
      </c>
      <c r="B62" t="s">
        <v>92</v>
      </c>
      <c r="C62" s="38">
        <v>1</v>
      </c>
      <c r="AI62" cm="1">
        <f t="array" ref="AI62">SUM(C62:AH62)</f>
        <v>1</v>
      </c>
    </row>
    <row r="63" spans="1:35" x14ac:dyDescent="0.25">
      <c r="A63">
        <v>54</v>
      </c>
      <c r="B63" t="s">
        <v>93</v>
      </c>
      <c r="E63" s="38">
        <v>1</v>
      </c>
      <c r="F63" s="38">
        <v>2</v>
      </c>
      <c r="H63" s="38">
        <v>2</v>
      </c>
      <c r="I63" s="38">
        <v>2</v>
      </c>
      <c r="J63" s="38">
        <v>2</v>
      </c>
      <c r="AI63" cm="1">
        <f t="array" ref="AI63">SUM(C63:AH63)</f>
        <v>9</v>
      </c>
    </row>
    <row r="64" spans="1:35" x14ac:dyDescent="0.25">
      <c r="A64">
        <v>55</v>
      </c>
      <c r="B64" t="s">
        <v>94</v>
      </c>
      <c r="X64" s="38">
        <v>1</v>
      </c>
      <c r="AI64" cm="1">
        <f t="array" ref="AI64">SUM(C64:AH64)</f>
        <v>1</v>
      </c>
    </row>
    <row r="65" spans="1:35" x14ac:dyDescent="0.25">
      <c r="A65">
        <v>56</v>
      </c>
      <c r="B65" t="s">
        <v>95</v>
      </c>
      <c r="G65" s="38">
        <v>2</v>
      </c>
      <c r="H65" s="38">
        <v>2</v>
      </c>
      <c r="I65" s="38">
        <v>2</v>
      </c>
      <c r="J65" s="38">
        <v>2</v>
      </c>
      <c r="AI65" cm="1">
        <f t="array" ref="AI65">SUM(C65:AH65)</f>
        <v>8</v>
      </c>
    </row>
    <row r="66" spans="1:35" x14ac:dyDescent="0.25">
      <c r="A66">
        <v>57</v>
      </c>
      <c r="B66" t="s">
        <v>96</v>
      </c>
      <c r="J66" s="38">
        <v>1</v>
      </c>
      <c r="M66" s="38">
        <v>1</v>
      </c>
      <c r="AI66" cm="1">
        <f t="array" ref="AI66">SUM(C66:AH66)</f>
        <v>2</v>
      </c>
    </row>
    <row r="67" spans="1:35" x14ac:dyDescent="0.25">
      <c r="A67">
        <v>58</v>
      </c>
      <c r="B67" t="s">
        <v>97</v>
      </c>
      <c r="AI67" cm="1">
        <f t="array" ref="AI67">SUM(C67:AH67)</f>
        <v>0</v>
      </c>
    </row>
    <row r="68" spans="1:35" x14ac:dyDescent="0.25">
      <c r="A68">
        <v>59</v>
      </c>
      <c r="B68" t="s">
        <v>98</v>
      </c>
      <c r="AI68" cm="1">
        <f t="array" ref="AI68">SUM(C68:AH68)</f>
        <v>0</v>
      </c>
    </row>
    <row r="69" spans="1:35" x14ac:dyDescent="0.25">
      <c r="A69">
        <v>60</v>
      </c>
      <c r="B69" t="s">
        <v>99</v>
      </c>
      <c r="AI69" cm="1">
        <f t="array" ref="AI69">SUM(C69:AH69)</f>
        <v>0</v>
      </c>
    </row>
    <row r="70" spans="1:35" x14ac:dyDescent="0.25">
      <c r="A70">
        <v>61</v>
      </c>
      <c r="B70" t="s">
        <v>100</v>
      </c>
      <c r="AI70" cm="1">
        <f t="array" ref="AI70">SUM(C70:AH70)</f>
        <v>0</v>
      </c>
    </row>
    <row r="71" spans="1:35" x14ac:dyDescent="0.25">
      <c r="A71">
        <v>62</v>
      </c>
      <c r="B71" t="s">
        <v>101</v>
      </c>
      <c r="T71" s="38">
        <v>1</v>
      </c>
      <c r="AI71" cm="1">
        <f t="array" ref="AI71">SUM(C71:AH71)</f>
        <v>1</v>
      </c>
    </row>
    <row r="72" spans="1:35" x14ac:dyDescent="0.25">
      <c r="A72">
        <v>63</v>
      </c>
      <c r="B72" t="s">
        <v>102</v>
      </c>
      <c r="T72" s="38">
        <v>1</v>
      </c>
      <c r="AI72" cm="1">
        <f t="array" ref="AI72">SUM(C72:AH72)</f>
        <v>1</v>
      </c>
    </row>
    <row r="73" spans="1:35" x14ac:dyDescent="0.25">
      <c r="A73">
        <v>64</v>
      </c>
      <c r="B73" t="s">
        <v>103</v>
      </c>
      <c r="C73" s="38">
        <v>1</v>
      </c>
      <c r="J73" s="38">
        <v>1</v>
      </c>
      <c r="V73" s="38">
        <v>1</v>
      </c>
      <c r="AH73" s="38">
        <v>1</v>
      </c>
      <c r="AI73" cm="1">
        <f t="array" ref="AI73">SUM(C73:AH73)</f>
        <v>4</v>
      </c>
    </row>
    <row r="74" spans="1:35" x14ac:dyDescent="0.25">
      <c r="A74">
        <v>65</v>
      </c>
      <c r="B74" t="s">
        <v>104</v>
      </c>
      <c r="AI74" cm="1">
        <f t="array" ref="AI74">SUM(C74:AH74)</f>
        <v>0</v>
      </c>
    </row>
    <row r="75" spans="1:35" x14ac:dyDescent="0.25">
      <c r="A75">
        <v>66</v>
      </c>
      <c r="B75" t="s">
        <v>105</v>
      </c>
      <c r="AI75" cm="1">
        <f t="array" ref="AI75">SUM(C75:AH75)</f>
        <v>0</v>
      </c>
    </row>
    <row r="76" spans="1:35" x14ac:dyDescent="0.25">
      <c r="A76">
        <v>67</v>
      </c>
      <c r="B76" t="s">
        <v>106</v>
      </c>
      <c r="AI76" cm="1">
        <f t="array" ref="AI76">SUM(C76:AH76)</f>
        <v>0</v>
      </c>
    </row>
    <row r="77" spans="1:35" x14ac:dyDescent="0.25">
      <c r="A77">
        <v>68</v>
      </c>
      <c r="B77" t="s">
        <v>107</v>
      </c>
      <c r="O77" s="38">
        <v>5</v>
      </c>
      <c r="AI77" cm="1">
        <f t="array" ref="AI77">SUM(C77:AH77)</f>
        <v>5</v>
      </c>
    </row>
    <row r="78" spans="1:35" x14ac:dyDescent="0.25">
      <c r="A78">
        <v>69</v>
      </c>
      <c r="B78" t="s">
        <v>108</v>
      </c>
      <c r="C78" s="38">
        <v>2</v>
      </c>
      <c r="J78" s="38">
        <v>1</v>
      </c>
      <c r="O78" s="38">
        <v>2</v>
      </c>
      <c r="T78" s="38">
        <v>2</v>
      </c>
      <c r="V78" s="38">
        <v>1</v>
      </c>
      <c r="Y78" s="38">
        <v>1</v>
      </c>
      <c r="AB78" s="38">
        <v>1</v>
      </c>
      <c r="AF78" s="38">
        <v>2</v>
      </c>
      <c r="AI78" cm="1">
        <f t="array" ref="AI78">SUM(C78:AH78)</f>
        <v>12</v>
      </c>
    </row>
    <row r="79" spans="1:35" x14ac:dyDescent="0.25">
      <c r="A79">
        <v>70</v>
      </c>
      <c r="B79" t="s">
        <v>109</v>
      </c>
      <c r="S79" s="38">
        <v>1</v>
      </c>
      <c r="V79" s="38">
        <v>1</v>
      </c>
      <c r="X79" s="38">
        <v>1</v>
      </c>
      <c r="AB79" s="38">
        <v>1</v>
      </c>
      <c r="AH79" s="38">
        <v>1</v>
      </c>
      <c r="AI79" cm="1">
        <f t="array" ref="AI79">SUM(C79:AH79)</f>
        <v>5</v>
      </c>
    </row>
    <row r="80" spans="1:35" x14ac:dyDescent="0.25">
      <c r="A80">
        <v>71</v>
      </c>
      <c r="B80" t="s">
        <v>110</v>
      </c>
      <c r="AD80" s="38">
        <v>1</v>
      </c>
      <c r="AI80" cm="1">
        <f t="array" ref="AI80">SUM(C80:AH80)</f>
        <v>1</v>
      </c>
    </row>
    <row r="81" spans="1:35" x14ac:dyDescent="0.25">
      <c r="A81">
        <v>72</v>
      </c>
      <c r="B81" t="s">
        <v>111</v>
      </c>
      <c r="E81" s="38">
        <v>5</v>
      </c>
      <c r="G81" s="38">
        <v>3</v>
      </c>
      <c r="O81" s="38">
        <v>7</v>
      </c>
      <c r="W81" s="38">
        <v>2</v>
      </c>
      <c r="Y81" s="38">
        <v>2</v>
      </c>
      <c r="Z81" s="38">
        <v>2</v>
      </c>
      <c r="AD81" s="38">
        <v>4</v>
      </c>
      <c r="AF81" s="38">
        <v>2</v>
      </c>
      <c r="AG81" s="38">
        <v>2</v>
      </c>
      <c r="AI81" cm="1">
        <f t="array" ref="AI81">SUM(C81:AH81)</f>
        <v>29</v>
      </c>
    </row>
    <row r="82" spans="1:35" x14ac:dyDescent="0.25">
      <c r="A82">
        <v>73</v>
      </c>
      <c r="B82" t="s">
        <v>112</v>
      </c>
      <c r="C82" s="38">
        <v>1</v>
      </c>
      <c r="D82" s="38">
        <v>2</v>
      </c>
      <c r="E82" s="38">
        <v>1</v>
      </c>
      <c r="I82" s="38">
        <v>2</v>
      </c>
      <c r="J82" s="38">
        <v>1</v>
      </c>
      <c r="L82" s="38">
        <v>3</v>
      </c>
      <c r="N82" s="38">
        <v>2</v>
      </c>
      <c r="Q82" s="38">
        <v>2</v>
      </c>
      <c r="Y82" s="38">
        <v>2</v>
      </c>
      <c r="Z82" s="38">
        <v>2</v>
      </c>
      <c r="AD82" s="38">
        <v>3</v>
      </c>
      <c r="AI82" cm="1">
        <f t="array" ref="AI82">SUM(C82:AH82)</f>
        <v>21</v>
      </c>
    </row>
    <row r="83" spans="1:35" x14ac:dyDescent="0.25">
      <c r="A83">
        <v>74</v>
      </c>
      <c r="B83" t="s">
        <v>113</v>
      </c>
      <c r="AI83" cm="1">
        <f t="array" ref="AI83">SUM(C83:AH83)</f>
        <v>0</v>
      </c>
    </row>
    <row r="84" spans="1:35" x14ac:dyDescent="0.25">
      <c r="A84">
        <v>75</v>
      </c>
      <c r="B84" t="s">
        <v>114</v>
      </c>
      <c r="E84" s="38">
        <v>4</v>
      </c>
      <c r="H84" s="38">
        <v>3</v>
      </c>
      <c r="K84" s="38">
        <v>3</v>
      </c>
      <c r="O84" s="38">
        <v>3</v>
      </c>
      <c r="V84" s="38">
        <v>3</v>
      </c>
      <c r="Y84" s="38">
        <v>3</v>
      </c>
      <c r="Z84" s="38">
        <v>3</v>
      </c>
      <c r="AB84" s="38">
        <v>2</v>
      </c>
      <c r="AD84" s="38">
        <v>2</v>
      </c>
      <c r="AI84" cm="1">
        <f t="array" ref="AI84">SUM(C84:AH84)</f>
        <v>26</v>
      </c>
    </row>
    <row r="85" spans="1:35" x14ac:dyDescent="0.25">
      <c r="A85">
        <v>76</v>
      </c>
      <c r="B85" t="s">
        <v>115</v>
      </c>
      <c r="M85" s="38">
        <v>3</v>
      </c>
      <c r="S85" s="38">
        <v>5</v>
      </c>
      <c r="T85" s="38">
        <v>4</v>
      </c>
      <c r="U85" s="38">
        <v>2</v>
      </c>
      <c r="AI85" cm="1">
        <f t="array" ref="AI85">SUM(C85:AH85)</f>
        <v>14</v>
      </c>
    </row>
    <row r="86" spans="1:35" x14ac:dyDescent="0.25">
      <c r="A86">
        <v>77</v>
      </c>
      <c r="B86" t="s">
        <v>116</v>
      </c>
      <c r="R86" s="38">
        <v>1</v>
      </c>
      <c r="AD86" s="38">
        <v>2</v>
      </c>
      <c r="AI86" cm="1">
        <f t="array" ref="AI86">SUM(C86:AH86)</f>
        <v>3</v>
      </c>
    </row>
    <row r="87" spans="1:35" x14ac:dyDescent="0.25">
      <c r="A87">
        <v>78</v>
      </c>
      <c r="B87" t="s">
        <v>117</v>
      </c>
      <c r="W87" s="38">
        <v>2</v>
      </c>
      <c r="AB87" s="38">
        <v>2</v>
      </c>
      <c r="AD87" s="38">
        <v>1</v>
      </c>
      <c r="AI87" cm="1">
        <f t="array" ref="AI87">SUM(C87:AH87)</f>
        <v>5</v>
      </c>
    </row>
    <row r="88" spans="1:35" x14ac:dyDescent="0.25">
      <c r="A88">
        <v>79</v>
      </c>
      <c r="B88" t="s">
        <v>118</v>
      </c>
      <c r="AI88" cm="1">
        <f t="array" ref="AI88">SUM(C88:AH88)</f>
        <v>0</v>
      </c>
    </row>
    <row r="89" spans="1:35" x14ac:dyDescent="0.25">
      <c r="A89">
        <v>80</v>
      </c>
      <c r="B89" t="s">
        <v>119</v>
      </c>
      <c r="C89" s="38">
        <v>12</v>
      </c>
      <c r="D89" s="38">
        <v>10</v>
      </c>
      <c r="E89" s="38">
        <v>5</v>
      </c>
      <c r="F89" s="38">
        <v>13</v>
      </c>
      <c r="G89" s="38">
        <v>8</v>
      </c>
      <c r="H89" s="38">
        <v>1</v>
      </c>
      <c r="I89" s="38">
        <v>13</v>
      </c>
      <c r="J89" s="38">
        <v>6</v>
      </c>
      <c r="K89" s="38">
        <v>3</v>
      </c>
      <c r="L89" s="38">
        <v>3</v>
      </c>
      <c r="M89" s="38">
        <v>1</v>
      </c>
      <c r="N89" s="38">
        <v>7</v>
      </c>
      <c r="O89" s="38">
        <v>2</v>
      </c>
      <c r="P89" s="38">
        <v>7</v>
      </c>
      <c r="Q89" s="38">
        <v>8</v>
      </c>
      <c r="R89" s="38">
        <v>4</v>
      </c>
      <c r="S89" s="38">
        <v>9</v>
      </c>
      <c r="T89" s="38">
        <v>3</v>
      </c>
      <c r="V89" s="38">
        <v>12</v>
      </c>
      <c r="AA89" s="38">
        <v>12</v>
      </c>
      <c r="AB89" s="38">
        <v>5</v>
      </c>
      <c r="AC89" s="38">
        <v>10</v>
      </c>
      <c r="AD89" s="38">
        <v>10</v>
      </c>
      <c r="AE89" s="38">
        <v>10</v>
      </c>
      <c r="AF89" s="38">
        <v>10</v>
      </c>
      <c r="AG89" s="38">
        <v>20</v>
      </c>
      <c r="AH89" s="38">
        <v>10</v>
      </c>
      <c r="AI89" cm="1">
        <f t="array" ref="AI89">SUM(C89:AH89)</f>
        <v>214</v>
      </c>
    </row>
    <row r="90" spans="1:35" x14ac:dyDescent="0.25">
      <c r="A90">
        <v>81</v>
      </c>
      <c r="B90" t="s">
        <v>120</v>
      </c>
      <c r="V90" s="38">
        <v>1</v>
      </c>
      <c r="AI90" cm="1">
        <f t="array" ref="AI90">SUM(C90:AH90)</f>
        <v>1</v>
      </c>
    </row>
    <row r="91" spans="1:35" x14ac:dyDescent="0.25">
      <c r="A91">
        <v>82</v>
      </c>
      <c r="B91" t="s">
        <v>121</v>
      </c>
      <c r="AF91" s="38">
        <v>5</v>
      </c>
      <c r="AG91" s="38">
        <v>15</v>
      </c>
      <c r="AI91" cm="1">
        <f t="array" ref="AI91">SUM(C91:AH91)</f>
        <v>20</v>
      </c>
    </row>
    <row r="92" spans="1:35" x14ac:dyDescent="0.25">
      <c r="A92">
        <v>83</v>
      </c>
      <c r="AI92" cm="1">
        <f t="array" ref="AI92">SUM(C92:AH92)</f>
        <v>0</v>
      </c>
    </row>
    <row r="93" spans="1:35" x14ac:dyDescent="0.25">
      <c r="A93">
        <v>84</v>
      </c>
      <c r="AI93" cm="1">
        <f t="array" ref="AI93">SUM(C93:AH93)</f>
        <v>0</v>
      </c>
    </row>
    <row r="94" spans="1:35" x14ac:dyDescent="0.25">
      <c r="A94">
        <v>85</v>
      </c>
      <c r="AI94" cm="1">
        <f t="array" ref="AI94">SUM(C94:AH94)</f>
        <v>0</v>
      </c>
    </row>
    <row r="95" spans="1:35" x14ac:dyDescent="0.25">
      <c r="A95">
        <v>86</v>
      </c>
      <c r="AI95" cm="1">
        <f t="array" ref="AI95">SUM(C95:AH95)</f>
        <v>0</v>
      </c>
    </row>
    <row r="96" spans="1:35" x14ac:dyDescent="0.25">
      <c r="A96">
        <v>87</v>
      </c>
      <c r="AI96" cm="1">
        <f t="array" ref="AI96">SUM(C96:AH96)</f>
        <v>0</v>
      </c>
    </row>
    <row r="97" spans="1:35" x14ac:dyDescent="0.25">
      <c r="A97">
        <v>88</v>
      </c>
      <c r="AI97" cm="1">
        <f t="array" ref="AI97">SUM(C97:AH97)</f>
        <v>0</v>
      </c>
    </row>
    <row r="98" spans="1:35" x14ac:dyDescent="0.25">
      <c r="A98">
        <v>89</v>
      </c>
      <c r="AI98" cm="1">
        <f t="array" ref="AI98">SUM(C98:AH98)</f>
        <v>0</v>
      </c>
    </row>
    <row r="99" spans="1:35" x14ac:dyDescent="0.25">
      <c r="A99">
        <v>90</v>
      </c>
      <c r="AI99" cm="1">
        <f t="array" ref="AI99">SUM(C99:AH99)</f>
        <v>0</v>
      </c>
    </row>
    <row r="100" spans="1:35" x14ac:dyDescent="0.25">
      <c r="A100">
        <v>91</v>
      </c>
      <c r="AI100" cm="1">
        <f t="array" ref="AI100">SUM(C100:AH100)</f>
        <v>0</v>
      </c>
    </row>
    <row r="101" spans="1:35" x14ac:dyDescent="0.25">
      <c r="A101">
        <v>92</v>
      </c>
      <c r="AI101" cm="1">
        <f t="array" ref="AI101">SUM(C101:AH101)</f>
        <v>0</v>
      </c>
    </row>
    <row r="102" spans="1:35" x14ac:dyDescent="0.25">
      <c r="A102">
        <v>93</v>
      </c>
      <c r="AI102" cm="1">
        <f t="array" ref="AI102">SUM(C102:AH102)</f>
        <v>0</v>
      </c>
    </row>
    <row r="103" spans="1:35" x14ac:dyDescent="0.25">
      <c r="A103">
        <v>94</v>
      </c>
      <c r="AI103" cm="1">
        <f t="array" ref="AI103">SUM(C103:AH103)</f>
        <v>0</v>
      </c>
    </row>
    <row r="104" spans="1:35" x14ac:dyDescent="0.25">
      <c r="A104">
        <v>95</v>
      </c>
      <c r="AI104" cm="1">
        <f t="array" ref="AI104">SUM(C104:AH104)</f>
        <v>0</v>
      </c>
    </row>
    <row r="105" spans="1:35" x14ac:dyDescent="0.25">
      <c r="A105">
        <v>96</v>
      </c>
      <c r="AI105" cm="1">
        <f t="array" ref="AI105">SUM(C105:AH105)</f>
        <v>0</v>
      </c>
    </row>
    <row r="106" spans="1:35" x14ac:dyDescent="0.25">
      <c r="A106">
        <v>97</v>
      </c>
      <c r="AI106" cm="1">
        <f t="array" ref="AI106">SUM(C106:AH106)</f>
        <v>0</v>
      </c>
    </row>
    <row r="107" spans="1:35" x14ac:dyDescent="0.25">
      <c r="A107">
        <v>98</v>
      </c>
      <c r="AI107" cm="1">
        <f t="array" ref="AI107">SUM(C107:AH107)</f>
        <v>0</v>
      </c>
    </row>
    <row r="108" spans="1:35" x14ac:dyDescent="0.25">
      <c r="A108">
        <v>99</v>
      </c>
      <c r="AI108" cm="1">
        <f t="array" ref="AI108">SUM(C108:AH108)</f>
        <v>0</v>
      </c>
    </row>
    <row r="109" spans="1:35" x14ac:dyDescent="0.25">
      <c r="A109">
        <v>100</v>
      </c>
      <c r="AI109" cm="1">
        <f t="array" ref="AI109">SUM(C109:AH109)</f>
        <v>0</v>
      </c>
    </row>
    <row r="110" spans="1:35" x14ac:dyDescent="0.25">
      <c r="A110">
        <v>101</v>
      </c>
      <c r="AI110" cm="1">
        <f t="array" ref="AI110">SUM(C110:AH110)</f>
        <v>0</v>
      </c>
    </row>
    <row r="111" spans="1:35" x14ac:dyDescent="0.25">
      <c r="A111">
        <v>102</v>
      </c>
      <c r="AI111" cm="1">
        <f t="array" ref="AI111">SUM(C111:AH111)</f>
        <v>0</v>
      </c>
    </row>
    <row r="112" spans="1:35" x14ac:dyDescent="0.25">
      <c r="A112">
        <v>103</v>
      </c>
      <c r="AI112" cm="1">
        <f t="array" ref="AI112">SUM(C112:AH112)</f>
        <v>0</v>
      </c>
    </row>
    <row r="113" spans="1:35" x14ac:dyDescent="0.25">
      <c r="A113">
        <v>104</v>
      </c>
      <c r="AI113" cm="1">
        <f t="array" ref="AI113">SUM(C113:AH113)</f>
        <v>0</v>
      </c>
    </row>
    <row r="114" spans="1:35" x14ac:dyDescent="0.25">
      <c r="A114">
        <v>105</v>
      </c>
      <c r="AI114" cm="1">
        <f t="array" ref="AI114">SUM(C114:AH114)</f>
        <v>0</v>
      </c>
    </row>
    <row r="115" spans="1:35" x14ac:dyDescent="0.25">
      <c r="A115">
        <v>106</v>
      </c>
      <c r="AI115" cm="1">
        <f t="array" ref="AI115">SUM(C115:AH115)</f>
        <v>0</v>
      </c>
    </row>
    <row r="116" spans="1:35" x14ac:dyDescent="0.25">
      <c r="A116">
        <v>107</v>
      </c>
      <c r="AI116" cm="1">
        <f t="array" ref="AI116">SUM(C116:AH116)</f>
        <v>0</v>
      </c>
    </row>
    <row r="117" spans="1:35" x14ac:dyDescent="0.25">
      <c r="A117">
        <v>108</v>
      </c>
      <c r="AI117" cm="1">
        <f t="array" ref="AI117">SUM(C117:AH117)</f>
        <v>0</v>
      </c>
    </row>
    <row r="118" spans="1:35" x14ac:dyDescent="0.25">
      <c r="A118">
        <v>109</v>
      </c>
      <c r="AI118" cm="1">
        <f t="array" ref="AI118">SUM(C118:AH118)</f>
        <v>0</v>
      </c>
    </row>
    <row r="119" spans="1:35" x14ac:dyDescent="0.25">
      <c r="A119">
        <v>110</v>
      </c>
      <c r="AI119" cm="1">
        <f t="array" ref="AI119">SUM(C119:AH119)</f>
        <v>0</v>
      </c>
    </row>
    <row r="120" spans="1:35" x14ac:dyDescent="0.25">
      <c r="A120">
        <v>111</v>
      </c>
      <c r="AI120" cm="1">
        <f t="array" ref="AI120">SUM(C120:AH120)</f>
        <v>0</v>
      </c>
    </row>
    <row r="121" spans="1:35" x14ac:dyDescent="0.25">
      <c r="A121">
        <v>112</v>
      </c>
      <c r="AI121" cm="1">
        <f t="array" ref="AI121">SUM(C121:AH121)</f>
        <v>0</v>
      </c>
    </row>
    <row r="122" spans="1:35" x14ac:dyDescent="0.25">
      <c r="A122">
        <v>113</v>
      </c>
      <c r="AI122" cm="1">
        <f t="array" ref="AI122">SUM(C122:AH122)</f>
        <v>0</v>
      </c>
    </row>
    <row r="123" spans="1:35" x14ac:dyDescent="0.25">
      <c r="A123">
        <v>114</v>
      </c>
      <c r="AI123" cm="1">
        <f t="array" ref="AI123">SUM(C123:AH123)</f>
        <v>0</v>
      </c>
    </row>
    <row r="124" spans="1:35" x14ac:dyDescent="0.25">
      <c r="A124">
        <v>115</v>
      </c>
      <c r="AI124" cm="1">
        <f t="array" ref="AI124">SUM(C124:AH124)</f>
        <v>0</v>
      </c>
    </row>
    <row r="125" spans="1:35" x14ac:dyDescent="0.25">
      <c r="A125">
        <v>116</v>
      </c>
      <c r="AI125" cm="1">
        <f t="array" ref="AI125">SUM(C125:AH125)</f>
        <v>0</v>
      </c>
    </row>
    <row r="126" spans="1:35" x14ac:dyDescent="0.25">
      <c r="A126">
        <v>117</v>
      </c>
      <c r="AI126" cm="1">
        <f t="array" ref="AI126">SUM(C126:AH126)</f>
        <v>0</v>
      </c>
    </row>
    <row r="127" spans="1:35" x14ac:dyDescent="0.25">
      <c r="A127">
        <v>118</v>
      </c>
      <c r="AI127" cm="1">
        <f t="array" ref="AI127">SUM(C127:AH127)</f>
        <v>0</v>
      </c>
    </row>
    <row r="128" spans="1:35" x14ac:dyDescent="0.25">
      <c r="A128">
        <v>119</v>
      </c>
      <c r="AI128" cm="1">
        <f t="array" ref="AI128">SUM(C128:AH128)</f>
        <v>0</v>
      </c>
    </row>
    <row r="129" spans="1:35" x14ac:dyDescent="0.25">
      <c r="A129">
        <v>120</v>
      </c>
      <c r="AI129" cm="1">
        <f t="array" ref="AI129">SUM(C129:AH129)</f>
        <v>0</v>
      </c>
    </row>
    <row r="130" spans="1:35" x14ac:dyDescent="0.25">
      <c r="A130">
        <v>121</v>
      </c>
      <c r="AI130" cm="1">
        <f t="array" ref="AI130">SUM(C130:AH130)</f>
        <v>0</v>
      </c>
    </row>
    <row r="131" spans="1:35" x14ac:dyDescent="0.25">
      <c r="A131">
        <v>122</v>
      </c>
      <c r="AI131" cm="1">
        <f t="array" ref="AI131">SUM(C131:AH131)</f>
        <v>0</v>
      </c>
    </row>
    <row r="132" spans="1:35" x14ac:dyDescent="0.25">
      <c r="A132">
        <v>123</v>
      </c>
      <c r="AI132" cm="1">
        <f t="array" ref="AI132">SUM(C132:AH132)</f>
        <v>0</v>
      </c>
    </row>
    <row r="133" spans="1:35" x14ac:dyDescent="0.25">
      <c r="A133">
        <v>124</v>
      </c>
      <c r="AI133" cm="1">
        <f t="array" ref="AI133">SUM(C133:AH133)</f>
        <v>0</v>
      </c>
    </row>
    <row r="134" spans="1:35" x14ac:dyDescent="0.25">
      <c r="A134">
        <v>125</v>
      </c>
      <c r="AI134" cm="1">
        <f t="array" ref="AI134">SUM(C134:AH134)</f>
        <v>0</v>
      </c>
    </row>
    <row r="135" spans="1:35" x14ac:dyDescent="0.25">
      <c r="A135">
        <v>126</v>
      </c>
      <c r="AI135" cm="1">
        <f t="array" ref="AI135">SUM(C135:AH135)</f>
        <v>0</v>
      </c>
    </row>
    <row r="136" spans="1:35" x14ac:dyDescent="0.25">
      <c r="A136">
        <v>127</v>
      </c>
      <c r="AI136" cm="1">
        <f t="array" ref="AI136">SUM(C136:AH136)</f>
        <v>0</v>
      </c>
    </row>
    <row r="137" spans="1:35" x14ac:dyDescent="0.25">
      <c r="A137">
        <v>128</v>
      </c>
      <c r="AI137" cm="1">
        <f t="array" ref="AI137">SUM(C137:AH137)</f>
        <v>0</v>
      </c>
    </row>
    <row r="138" spans="1:35" x14ac:dyDescent="0.25">
      <c r="A138">
        <v>129</v>
      </c>
      <c r="AI138" cm="1">
        <f t="array" ref="AI138">SUM(C138:AH138)</f>
        <v>0</v>
      </c>
    </row>
    <row r="139" spans="1:35" x14ac:dyDescent="0.25">
      <c r="A139">
        <v>130</v>
      </c>
      <c r="AI139" cm="1">
        <f t="array" ref="AI139">SUM(C139:AH139)</f>
        <v>0</v>
      </c>
    </row>
    <row r="140" spans="1:35" x14ac:dyDescent="0.25">
      <c r="A140">
        <v>131</v>
      </c>
      <c r="AI140" cm="1">
        <f t="array" ref="AI140">SUM(C140:AH140)</f>
        <v>0</v>
      </c>
    </row>
    <row r="141" spans="1:35" x14ac:dyDescent="0.25">
      <c r="A141">
        <v>132</v>
      </c>
      <c r="AI141" cm="1">
        <f t="array" ref="AI141">SUM(C141:AH141)</f>
        <v>0</v>
      </c>
    </row>
    <row r="142" spans="1:35" x14ac:dyDescent="0.25">
      <c r="A142">
        <v>133</v>
      </c>
      <c r="AI142" cm="1">
        <f t="array" ref="AI142">SUM(C142:AH142)</f>
        <v>0</v>
      </c>
    </row>
    <row r="143" spans="1:35" x14ac:dyDescent="0.25">
      <c r="A143">
        <v>134</v>
      </c>
      <c r="AI143" cm="1">
        <f t="array" ref="AI143">SUM(C143:AH143)</f>
        <v>0</v>
      </c>
    </row>
    <row r="144" spans="1:35" x14ac:dyDescent="0.25">
      <c r="A144">
        <v>135</v>
      </c>
      <c r="AI144" cm="1">
        <f t="array" ref="AI144">SUM(C144:AH144)</f>
        <v>0</v>
      </c>
    </row>
    <row r="145" spans="1:35" x14ac:dyDescent="0.25">
      <c r="A145">
        <v>136</v>
      </c>
      <c r="AI145" cm="1">
        <f t="array" ref="AI145">SUM(C145:AH145)</f>
        <v>0</v>
      </c>
    </row>
    <row r="146" spans="1:35" x14ac:dyDescent="0.25">
      <c r="A146">
        <v>137</v>
      </c>
      <c r="AI146" cm="1">
        <f t="array" ref="AI146">SUM(C146:AH146)</f>
        <v>0</v>
      </c>
    </row>
    <row r="147" spans="1:35" x14ac:dyDescent="0.25">
      <c r="A147">
        <v>138</v>
      </c>
      <c r="AI147" cm="1">
        <f t="array" ref="AI147">SUM(C147:AH147)</f>
        <v>0</v>
      </c>
    </row>
    <row r="148" spans="1:35" x14ac:dyDescent="0.25">
      <c r="A148">
        <v>139</v>
      </c>
      <c r="AI148" cm="1">
        <f t="array" ref="AI148">SUM(C148:AH148)</f>
        <v>0</v>
      </c>
    </row>
    <row r="149" spans="1:35" x14ac:dyDescent="0.25">
      <c r="A149">
        <v>140</v>
      </c>
      <c r="AI149" cm="1">
        <f t="array" ref="AI149">SUM(C149:AH149)</f>
        <v>0</v>
      </c>
    </row>
    <row r="150" spans="1:35" x14ac:dyDescent="0.25">
      <c r="A150">
        <v>141</v>
      </c>
      <c r="AI150" cm="1">
        <f t="array" ref="AI150">SUM(C150:AH150)</f>
        <v>0</v>
      </c>
    </row>
    <row r="151" spans="1:35" x14ac:dyDescent="0.25">
      <c r="A151">
        <v>142</v>
      </c>
      <c r="AI151" cm="1">
        <f t="array" ref="AI151">SUM(C151:AH151)</f>
        <v>0</v>
      </c>
    </row>
    <row r="152" spans="1:35" x14ac:dyDescent="0.25">
      <c r="A152">
        <v>143</v>
      </c>
      <c r="AI152" cm="1">
        <f t="array" ref="AI152">SUM(C152:AH152)</f>
        <v>0</v>
      </c>
    </row>
    <row r="153" spans="1:35" x14ac:dyDescent="0.25">
      <c r="A153">
        <v>144</v>
      </c>
      <c r="AI153" cm="1">
        <f t="array" ref="AI153">SUM(C153:AH153)</f>
        <v>0</v>
      </c>
    </row>
    <row r="154" spans="1:35" x14ac:dyDescent="0.25">
      <c r="A154">
        <v>145</v>
      </c>
      <c r="AI154" cm="1">
        <f t="array" ref="AI154">SUM(C154:AH154)</f>
        <v>0</v>
      </c>
    </row>
    <row r="155" spans="1:35" x14ac:dyDescent="0.25">
      <c r="A155">
        <v>146</v>
      </c>
      <c r="AI155" cm="1">
        <f t="array" ref="AI155">SUM(C155:AH155)</f>
        <v>0</v>
      </c>
    </row>
    <row r="156" spans="1:35" x14ac:dyDescent="0.25">
      <c r="A156">
        <v>147</v>
      </c>
      <c r="AI156" cm="1">
        <f t="array" ref="AI156">SUM(C156:AH156)</f>
        <v>0</v>
      </c>
    </row>
    <row r="157" spans="1:35" x14ac:dyDescent="0.25">
      <c r="A157">
        <v>148</v>
      </c>
      <c r="AI157" cm="1">
        <f t="array" ref="AI157">SUM(C157:AH157)</f>
        <v>0</v>
      </c>
    </row>
    <row r="158" spans="1:35" x14ac:dyDescent="0.25">
      <c r="A158">
        <v>149</v>
      </c>
      <c r="AI158" cm="1">
        <f t="array" ref="AI158">SUM(C158:AH158)</f>
        <v>0</v>
      </c>
    </row>
    <row r="159" spans="1:35" x14ac:dyDescent="0.25">
      <c r="A159">
        <v>150</v>
      </c>
      <c r="AI159" cm="1">
        <f t="array" ref="AI159">SUM(C159:AH159)</f>
        <v>0</v>
      </c>
    </row>
    <row r="160" spans="1:35" x14ac:dyDescent="0.25">
      <c r="A160">
        <v>151</v>
      </c>
      <c r="AI160" cm="1">
        <f t="array" ref="AI160">SUM(C160:AH160)</f>
        <v>0</v>
      </c>
    </row>
    <row r="161" spans="1:35" x14ac:dyDescent="0.25">
      <c r="A161">
        <v>152</v>
      </c>
      <c r="AI161" cm="1">
        <f t="array" ref="AI161">SUM(C161:AH161)</f>
        <v>0</v>
      </c>
    </row>
    <row r="162" spans="1:35" x14ac:dyDescent="0.25">
      <c r="A162">
        <v>153</v>
      </c>
      <c r="AI162" cm="1">
        <f t="array" ref="AI162">SUM(C162:AH162)</f>
        <v>0</v>
      </c>
    </row>
    <row r="163" spans="1:35" x14ac:dyDescent="0.25">
      <c r="A163">
        <v>154</v>
      </c>
      <c r="AI163" cm="1">
        <f t="array" ref="AI163">SUM(C163:AH163)</f>
        <v>0</v>
      </c>
    </row>
    <row r="164" spans="1:35" x14ac:dyDescent="0.25">
      <c r="A164">
        <v>155</v>
      </c>
      <c r="AI164" cm="1">
        <f t="array" ref="AI164">SUM(C164:AH164)</f>
        <v>0</v>
      </c>
    </row>
    <row r="165" spans="1:35" x14ac:dyDescent="0.25">
      <c r="A165">
        <v>156</v>
      </c>
      <c r="AI165" cm="1">
        <f t="array" ref="AI165">SUM(C165:AH165)</f>
        <v>0</v>
      </c>
    </row>
    <row r="166" spans="1:35" x14ac:dyDescent="0.25">
      <c r="A166">
        <v>157</v>
      </c>
      <c r="AI166" cm="1">
        <f t="array" ref="AI166">SUM(C166:AH166)</f>
        <v>0</v>
      </c>
    </row>
    <row r="167" spans="1:35" x14ac:dyDescent="0.25">
      <c r="A167">
        <v>158</v>
      </c>
      <c r="AI167" cm="1">
        <f t="array" ref="AI167">SUM(C167:AH167)</f>
        <v>0</v>
      </c>
    </row>
    <row r="168" spans="1:35" x14ac:dyDescent="0.25">
      <c r="A168">
        <v>159</v>
      </c>
      <c r="AI168" cm="1">
        <f t="array" ref="AI168">SUM(C168:AH168)</f>
        <v>0</v>
      </c>
    </row>
    <row r="169" spans="1:35" x14ac:dyDescent="0.25">
      <c r="A169">
        <v>160</v>
      </c>
      <c r="AI169" cm="1">
        <f t="array" ref="AI169">SUM(C169:AH169)</f>
        <v>0</v>
      </c>
    </row>
    <row r="170" spans="1:35" x14ac:dyDescent="0.25">
      <c r="A170">
        <v>161</v>
      </c>
      <c r="AI170" cm="1">
        <f t="array" ref="AI170">SUM(C170:AH170)</f>
        <v>0</v>
      </c>
    </row>
    <row r="171" spans="1:35" x14ac:dyDescent="0.25">
      <c r="A171">
        <v>162</v>
      </c>
      <c r="AI171" cm="1">
        <f t="array" ref="AI171">SUM(C171:AH171)</f>
        <v>0</v>
      </c>
    </row>
    <row r="172" spans="1:35" x14ac:dyDescent="0.25">
      <c r="A172">
        <v>163</v>
      </c>
      <c r="AI172" cm="1">
        <f t="array" ref="AI172">SUM(C172:AH172)</f>
        <v>0</v>
      </c>
    </row>
    <row r="173" spans="1:35" x14ac:dyDescent="0.25">
      <c r="A173">
        <v>164</v>
      </c>
      <c r="AI173" cm="1">
        <f t="array" ref="AI173">SUM(C173:AH173)</f>
        <v>0</v>
      </c>
    </row>
    <row r="174" spans="1:35" x14ac:dyDescent="0.25">
      <c r="A174">
        <v>165</v>
      </c>
      <c r="AI174" cm="1">
        <f t="array" ref="AI174">SUM(C174:AH174)</f>
        <v>0</v>
      </c>
    </row>
    <row r="175" spans="1:35" x14ac:dyDescent="0.25">
      <c r="A175">
        <v>166</v>
      </c>
      <c r="AI175" cm="1">
        <f t="array" ref="AI175">SUM(C175:AH175)</f>
        <v>0</v>
      </c>
    </row>
    <row r="176" spans="1:35" x14ac:dyDescent="0.25">
      <c r="A176">
        <v>167</v>
      </c>
      <c r="AI176" cm="1">
        <f t="array" ref="AI176">SUM(C176:AH176)</f>
        <v>0</v>
      </c>
    </row>
    <row r="177" spans="1:35" x14ac:dyDescent="0.25">
      <c r="A177">
        <v>168</v>
      </c>
      <c r="AI177" cm="1">
        <f t="array" ref="AI177">SUM(C177:AH177)</f>
        <v>0</v>
      </c>
    </row>
    <row r="178" spans="1:35" x14ac:dyDescent="0.25">
      <c r="A178">
        <v>169</v>
      </c>
      <c r="AI178" cm="1">
        <f t="array" ref="AI178">SUM(C178:AH178)</f>
        <v>0</v>
      </c>
    </row>
    <row r="179" spans="1:35" x14ac:dyDescent="0.25">
      <c r="A179">
        <v>170</v>
      </c>
      <c r="AI179" cm="1">
        <f t="array" ref="AI179">SUM(C179:AH179)</f>
        <v>0</v>
      </c>
    </row>
    <row r="180" spans="1:35" x14ac:dyDescent="0.25">
      <c r="A180">
        <v>171</v>
      </c>
      <c r="AI180" cm="1">
        <f t="array" ref="AI180">SUM(C180:AH180)</f>
        <v>0</v>
      </c>
    </row>
    <row r="181" spans="1:35" x14ac:dyDescent="0.25">
      <c r="A181">
        <v>172</v>
      </c>
      <c r="AI181" cm="1">
        <f t="array" ref="AI181">SUM(C181:AH181)</f>
        <v>0</v>
      </c>
    </row>
    <row r="182" spans="1:35" x14ac:dyDescent="0.25">
      <c r="A182">
        <v>173</v>
      </c>
      <c r="AI182" cm="1">
        <f t="array" ref="AI182">SUM(C182:AH182)</f>
        <v>0</v>
      </c>
    </row>
    <row r="183" spans="1:35" x14ac:dyDescent="0.25">
      <c r="A183">
        <v>174</v>
      </c>
      <c r="AI183" cm="1">
        <f t="array" ref="AI183">SUM(C183:AH183)</f>
        <v>0</v>
      </c>
    </row>
    <row r="184" spans="1:35" x14ac:dyDescent="0.25">
      <c r="A184">
        <v>175</v>
      </c>
      <c r="AI184" cm="1">
        <f t="array" ref="AI184">SUM(C184:AH184)</f>
        <v>0</v>
      </c>
    </row>
    <row r="185" spans="1:35" x14ac:dyDescent="0.25">
      <c r="A185">
        <v>176</v>
      </c>
      <c r="AI185" cm="1">
        <f t="array" ref="AI185">SUM(C185:AH185)</f>
        <v>0</v>
      </c>
    </row>
    <row r="186" spans="1:35" x14ac:dyDescent="0.25">
      <c r="A186">
        <v>177</v>
      </c>
      <c r="AI186" cm="1">
        <f t="array" ref="AI186">SUM(C186:AH186)</f>
        <v>0</v>
      </c>
    </row>
    <row r="187" spans="1:35" x14ac:dyDescent="0.25">
      <c r="A187">
        <v>178</v>
      </c>
      <c r="AI187" cm="1">
        <f t="array" ref="AI187">SUM(C187:AH187)</f>
        <v>0</v>
      </c>
    </row>
    <row r="188" spans="1:35" x14ac:dyDescent="0.25">
      <c r="A188">
        <v>179</v>
      </c>
      <c r="AI188" cm="1">
        <f t="array" ref="AI188">SUM(C188:AH188)</f>
        <v>0</v>
      </c>
    </row>
    <row r="189" spans="1:35" x14ac:dyDescent="0.25">
      <c r="A189">
        <v>180</v>
      </c>
      <c r="AI189" cm="1">
        <f t="array" ref="AI189">SUM(C189:AH189)</f>
        <v>0</v>
      </c>
    </row>
    <row r="190" spans="1:35" x14ac:dyDescent="0.25">
      <c r="A190">
        <v>181</v>
      </c>
      <c r="AI190" cm="1">
        <f t="array" ref="AI190">SUM(C190:AH190)</f>
        <v>0</v>
      </c>
    </row>
    <row r="191" spans="1:35" x14ac:dyDescent="0.25">
      <c r="A191">
        <v>182</v>
      </c>
      <c r="AI191" cm="1">
        <f t="array" ref="AI191">SUM(C191:AH191)</f>
        <v>0</v>
      </c>
    </row>
    <row r="192" spans="1:35" x14ac:dyDescent="0.25">
      <c r="A192">
        <v>183</v>
      </c>
      <c r="AI192" cm="1">
        <f t="array" ref="AI192">SUM(C192:AH192)</f>
        <v>0</v>
      </c>
    </row>
    <row r="193" spans="1:35" x14ac:dyDescent="0.25">
      <c r="A193">
        <v>184</v>
      </c>
      <c r="AI193" cm="1">
        <f t="array" ref="AI193">SUM(C193:AH193)</f>
        <v>0</v>
      </c>
    </row>
    <row r="194" spans="1:35" x14ac:dyDescent="0.25">
      <c r="A194">
        <v>185</v>
      </c>
      <c r="AI194" cm="1">
        <f t="array" ref="AI194">SUM(C194:AH194)</f>
        <v>0</v>
      </c>
    </row>
    <row r="195" spans="1:35" x14ac:dyDescent="0.25">
      <c r="A195">
        <v>186</v>
      </c>
      <c r="AI195" cm="1">
        <f t="array" ref="AI195">SUM(C195:AH195)</f>
        <v>0</v>
      </c>
    </row>
    <row r="196" spans="1:35" x14ac:dyDescent="0.25">
      <c r="A196">
        <v>187</v>
      </c>
      <c r="AI196" cm="1">
        <f t="array" ref="AI196">SUM(C196:AH196)</f>
        <v>0</v>
      </c>
    </row>
    <row r="197" spans="1:35" x14ac:dyDescent="0.25">
      <c r="A197">
        <v>188</v>
      </c>
      <c r="AI197" cm="1">
        <f t="array" ref="AI197">SUM(C197:AH197)</f>
        <v>0</v>
      </c>
    </row>
    <row r="198" spans="1:35" x14ac:dyDescent="0.25">
      <c r="A198">
        <v>189</v>
      </c>
      <c r="AI198" cm="1">
        <f t="array" ref="AI198">SUM(C198:AH198)</f>
        <v>0</v>
      </c>
    </row>
    <row r="199" spans="1:35" x14ac:dyDescent="0.25">
      <c r="A199">
        <v>190</v>
      </c>
      <c r="AI199" cm="1">
        <f t="array" ref="AI199">SUM(C199:AH199)</f>
        <v>0</v>
      </c>
    </row>
    <row r="200" spans="1:35" x14ac:dyDescent="0.25">
      <c r="A200">
        <v>191</v>
      </c>
      <c r="AI200" cm="1">
        <f t="array" ref="AI200">SUM(C200:AH200)</f>
        <v>0</v>
      </c>
    </row>
    <row r="201" spans="1:35" x14ac:dyDescent="0.25">
      <c r="A201">
        <v>192</v>
      </c>
      <c r="AI201" cm="1">
        <f t="array" ref="AI201">SUM(C201:AH201)</f>
        <v>0</v>
      </c>
    </row>
    <row r="202" spans="1:35" x14ac:dyDescent="0.25">
      <c r="A202">
        <v>193</v>
      </c>
      <c r="AI202" cm="1">
        <f t="array" ref="AI202">SUM(C202:AH202)</f>
        <v>0</v>
      </c>
    </row>
    <row r="203" spans="1:35" x14ac:dyDescent="0.25">
      <c r="A203">
        <v>194</v>
      </c>
      <c r="AI203" cm="1">
        <f t="array" ref="AI203">SUM(C203:AH203)</f>
        <v>0</v>
      </c>
    </row>
    <row r="204" spans="1:35" x14ac:dyDescent="0.25">
      <c r="A204">
        <v>195</v>
      </c>
      <c r="AI204" cm="1">
        <f t="array" ref="AI204">SUM(C204:AH204)</f>
        <v>0</v>
      </c>
    </row>
    <row r="205" spans="1:35" x14ac:dyDescent="0.25">
      <c r="A205">
        <v>196</v>
      </c>
      <c r="AI205" cm="1">
        <f t="array" ref="AI205">SUM(C205:AH205)</f>
        <v>0</v>
      </c>
    </row>
    <row r="206" spans="1:35" x14ac:dyDescent="0.25">
      <c r="A206">
        <v>197</v>
      </c>
      <c r="AI206" cm="1">
        <f t="array" ref="AI206">SUM(C206:AH206)</f>
        <v>0</v>
      </c>
    </row>
    <row r="207" spans="1:35" x14ac:dyDescent="0.25">
      <c r="A207">
        <v>198</v>
      </c>
      <c r="AI207" cm="1">
        <f t="array" ref="AI207">SUM(C207:AH207)</f>
        <v>0</v>
      </c>
    </row>
    <row r="208" spans="1:35" x14ac:dyDescent="0.25">
      <c r="A208">
        <v>199</v>
      </c>
      <c r="AI208" cm="1">
        <f t="array" ref="AI208">SUM(C208:AH208)</f>
        <v>0</v>
      </c>
    </row>
    <row r="209" spans="1:35" x14ac:dyDescent="0.25">
      <c r="A209">
        <v>200</v>
      </c>
      <c r="AI209" cm="1">
        <f t="array" ref="AI209">SUM(C209:AH209)</f>
        <v>0</v>
      </c>
    </row>
    <row r="210" spans="1:35" x14ac:dyDescent="0.25">
      <c r="A210">
        <v>201</v>
      </c>
      <c r="AI210" cm="1">
        <f t="array" ref="AI210">SUM(C210:AH210)</f>
        <v>0</v>
      </c>
    </row>
    <row r="211" spans="1:35" x14ac:dyDescent="0.25">
      <c r="A211">
        <v>202</v>
      </c>
      <c r="AI211" cm="1">
        <f t="array" ref="AI211">SUM(C211:AH211)</f>
        <v>0</v>
      </c>
    </row>
    <row r="212" spans="1:35" x14ac:dyDescent="0.25">
      <c r="A212">
        <v>203</v>
      </c>
      <c r="AI212" cm="1">
        <f t="array" ref="AI212">SUM(C212:AH212)</f>
        <v>0</v>
      </c>
    </row>
    <row r="213" spans="1:35" x14ac:dyDescent="0.25">
      <c r="A213">
        <v>204</v>
      </c>
      <c r="AI213" cm="1">
        <f t="array" ref="AI213">SUM(C213:AH213)</f>
        <v>0</v>
      </c>
    </row>
    <row r="214" spans="1:35" x14ac:dyDescent="0.25">
      <c r="A214">
        <v>205</v>
      </c>
      <c r="AI214" cm="1">
        <f t="array" ref="AI214">SUM(C214:AH214)</f>
        <v>0</v>
      </c>
    </row>
    <row r="215" spans="1:35" x14ac:dyDescent="0.25">
      <c r="A215">
        <v>206</v>
      </c>
      <c r="AI215" cm="1">
        <f t="array" ref="AI215">SUM(C215:AH215)</f>
        <v>0</v>
      </c>
    </row>
    <row r="216" spans="1:35" x14ac:dyDescent="0.25">
      <c r="A216">
        <v>207</v>
      </c>
      <c r="AI216" cm="1">
        <f t="array" ref="AI216">SUM(C216:AH216)</f>
        <v>0</v>
      </c>
    </row>
    <row r="217" spans="1:35" x14ac:dyDescent="0.25">
      <c r="A217">
        <v>208</v>
      </c>
      <c r="AI217" cm="1">
        <f t="array" ref="AI217">SUM(C217:AH217)</f>
        <v>0</v>
      </c>
    </row>
    <row r="218" spans="1:35" x14ac:dyDescent="0.25">
      <c r="A218">
        <v>209</v>
      </c>
      <c r="AI218" cm="1">
        <f t="array" ref="AI218">SUM(C218:AH218)</f>
        <v>0</v>
      </c>
    </row>
    <row r="219" spans="1:35" x14ac:dyDescent="0.25">
      <c r="A219">
        <v>210</v>
      </c>
      <c r="AI219" cm="1">
        <f t="array" ref="AI219">SUM(C219:AH219)</f>
        <v>0</v>
      </c>
    </row>
    <row r="220" spans="1:35" x14ac:dyDescent="0.25">
      <c r="A220">
        <v>211</v>
      </c>
      <c r="AI220" cm="1">
        <f t="array" ref="AI220">SUM(C220:AH220)</f>
        <v>0</v>
      </c>
    </row>
    <row r="221" spans="1:35" x14ac:dyDescent="0.25">
      <c r="A221">
        <v>212</v>
      </c>
      <c r="AI221" cm="1">
        <f t="array" ref="AI221">SUM(C221:AH221)</f>
        <v>0</v>
      </c>
    </row>
    <row r="222" spans="1:35" x14ac:dyDescent="0.25">
      <c r="A222">
        <v>213</v>
      </c>
      <c r="AI222" cm="1">
        <f t="array" ref="AI222">SUM(C222:AH222)</f>
        <v>0</v>
      </c>
    </row>
    <row r="223" spans="1:35" x14ac:dyDescent="0.25">
      <c r="A223">
        <v>214</v>
      </c>
      <c r="AI223" cm="1">
        <f t="array" ref="AI223">SUM(C223:AH223)</f>
        <v>0</v>
      </c>
    </row>
    <row r="224" spans="1:35" x14ac:dyDescent="0.25">
      <c r="A224">
        <v>215</v>
      </c>
      <c r="AI224" cm="1">
        <f t="array" ref="AI224">SUM(C224:AH224)</f>
        <v>0</v>
      </c>
    </row>
    <row r="225" spans="1:35" x14ac:dyDescent="0.25">
      <c r="A225">
        <v>216</v>
      </c>
      <c r="AI225" cm="1">
        <f t="array" ref="AI225">SUM(C225:AH225)</f>
        <v>0</v>
      </c>
    </row>
    <row r="226" spans="1:35" x14ac:dyDescent="0.25">
      <c r="A226">
        <v>217</v>
      </c>
      <c r="AI226" cm="1">
        <f t="array" ref="AI226">SUM(C226:AH226)</f>
        <v>0</v>
      </c>
    </row>
    <row r="227" spans="1:35" x14ac:dyDescent="0.25">
      <c r="A227">
        <v>218</v>
      </c>
      <c r="AI227" cm="1">
        <f t="array" ref="AI227">SUM(C227:AH227)</f>
        <v>0</v>
      </c>
    </row>
    <row r="228" spans="1:35" x14ac:dyDescent="0.25">
      <c r="A228">
        <v>219</v>
      </c>
      <c r="AI228" cm="1">
        <f t="array" ref="AI228">SUM(C228:AH228)</f>
        <v>0</v>
      </c>
    </row>
    <row r="229" spans="1:35" x14ac:dyDescent="0.25">
      <c r="A229">
        <v>220</v>
      </c>
      <c r="AI229" cm="1">
        <f t="array" ref="AI229">SUM(C229:AH229)</f>
        <v>0</v>
      </c>
    </row>
    <row r="230" spans="1:35" x14ac:dyDescent="0.25">
      <c r="A230">
        <v>221</v>
      </c>
      <c r="AI230" cm="1">
        <f t="array" ref="AI230">SUM(C230:AH230)</f>
        <v>0</v>
      </c>
    </row>
    <row r="231" spans="1:35" x14ac:dyDescent="0.25">
      <c r="A231">
        <v>222</v>
      </c>
      <c r="AI231" cm="1">
        <f t="array" ref="AI231">SUM(C231:AH231)</f>
        <v>0</v>
      </c>
    </row>
    <row r="232" spans="1:35" x14ac:dyDescent="0.25">
      <c r="A232">
        <v>223</v>
      </c>
      <c r="AI232" cm="1">
        <f t="array" ref="AI232">SUM(C232:AH232)</f>
        <v>0</v>
      </c>
    </row>
    <row r="233" spans="1:35" x14ac:dyDescent="0.25">
      <c r="A233">
        <v>224</v>
      </c>
      <c r="AI233" cm="1">
        <f t="array" ref="AI233">SUM(C233:AH233)</f>
        <v>0</v>
      </c>
    </row>
    <row r="234" spans="1:35" x14ac:dyDescent="0.25">
      <c r="A234">
        <v>225</v>
      </c>
      <c r="AI234" cm="1">
        <f t="array" ref="AI234">SUM(C234:AH234)</f>
        <v>0</v>
      </c>
    </row>
    <row r="235" spans="1:35" x14ac:dyDescent="0.25">
      <c r="A235">
        <v>226</v>
      </c>
      <c r="AI235" cm="1">
        <f t="array" ref="AI235">SUM(C235:AH235)</f>
        <v>0</v>
      </c>
    </row>
    <row r="236" spans="1:35" x14ac:dyDescent="0.25">
      <c r="A236">
        <v>227</v>
      </c>
      <c r="AI236" cm="1">
        <f t="array" ref="AI236">SUM(C236:AH236)</f>
        <v>0</v>
      </c>
    </row>
    <row r="237" spans="1:35" x14ac:dyDescent="0.25">
      <c r="A237">
        <v>228</v>
      </c>
      <c r="AI237" cm="1">
        <f t="array" ref="AI237">SUM(C237:AH237)</f>
        <v>0</v>
      </c>
    </row>
    <row r="238" spans="1:35" x14ac:dyDescent="0.25">
      <c r="A238">
        <v>229</v>
      </c>
      <c r="AI238" cm="1">
        <f t="array" ref="AI238">SUM(C238:AH238)</f>
        <v>0</v>
      </c>
    </row>
    <row r="239" spans="1:35" x14ac:dyDescent="0.25">
      <c r="A239">
        <v>230</v>
      </c>
      <c r="AI239" cm="1">
        <f t="array" ref="AI239">SUM(C239:AH239)</f>
        <v>0</v>
      </c>
    </row>
    <row r="240" spans="1:35" x14ac:dyDescent="0.25">
      <c r="A240">
        <v>231</v>
      </c>
      <c r="AI240" cm="1">
        <f t="array" ref="AI240">SUM(C240:AH240)</f>
        <v>0</v>
      </c>
    </row>
    <row r="241" spans="1:35" x14ac:dyDescent="0.25">
      <c r="A241">
        <v>232</v>
      </c>
      <c r="AI241" cm="1">
        <f t="array" ref="AI241">SUM(C241:AH241)</f>
        <v>0</v>
      </c>
    </row>
    <row r="242" spans="1:35" x14ac:dyDescent="0.25">
      <c r="A242">
        <v>233</v>
      </c>
      <c r="AI242" cm="1">
        <f t="array" ref="AI242">SUM(C242:AH242)</f>
        <v>0</v>
      </c>
    </row>
    <row r="243" spans="1:35" x14ac:dyDescent="0.25">
      <c r="A243">
        <v>234</v>
      </c>
      <c r="AI243" cm="1">
        <f t="array" ref="AI243">SUM(C243:AH243)</f>
        <v>0</v>
      </c>
    </row>
    <row r="244" spans="1:35" x14ac:dyDescent="0.25">
      <c r="A244">
        <v>235</v>
      </c>
      <c r="AI244" cm="1">
        <f t="array" ref="AI244">SUM(C244:AH244)</f>
        <v>0</v>
      </c>
    </row>
    <row r="245" spans="1:35" x14ac:dyDescent="0.25">
      <c r="A245">
        <v>236</v>
      </c>
      <c r="AI245" cm="1">
        <f t="array" ref="AI245">SUM(C245:AH245)</f>
        <v>0</v>
      </c>
    </row>
    <row r="246" spans="1:35" x14ac:dyDescent="0.25">
      <c r="A246">
        <v>237</v>
      </c>
      <c r="AI246" cm="1">
        <f t="array" ref="AI246">SUM(C246:AH246)</f>
        <v>0</v>
      </c>
    </row>
    <row r="247" spans="1:35" x14ac:dyDescent="0.25">
      <c r="A247">
        <v>238</v>
      </c>
      <c r="AI247" cm="1">
        <f t="array" ref="AI247">SUM(C247:AH247)</f>
        <v>0</v>
      </c>
    </row>
    <row r="248" spans="1:35" x14ac:dyDescent="0.25">
      <c r="A248">
        <v>239</v>
      </c>
      <c r="AI248" cm="1">
        <f t="array" ref="AI248">SUM(C248:AH248)</f>
        <v>0</v>
      </c>
    </row>
    <row r="249" spans="1:35" x14ac:dyDescent="0.25">
      <c r="A249">
        <v>240</v>
      </c>
      <c r="AI249" cm="1">
        <f t="array" ref="AI249">SUM(C249:AH249)</f>
        <v>0</v>
      </c>
    </row>
    <row r="250" spans="1:35" x14ac:dyDescent="0.25">
      <c r="A250">
        <v>241</v>
      </c>
      <c r="AI250" cm="1">
        <f t="array" ref="AI250">SUM(C250:AH250)</f>
        <v>0</v>
      </c>
    </row>
    <row r="251" spans="1:35" x14ac:dyDescent="0.25">
      <c r="A251">
        <v>242</v>
      </c>
      <c r="AI251" cm="1">
        <f t="array" ref="AI251">SUM(C251:AH251)</f>
        <v>0</v>
      </c>
    </row>
    <row r="252" spans="1:35" x14ac:dyDescent="0.25">
      <c r="A252">
        <v>243</v>
      </c>
      <c r="AI252" cm="1">
        <f t="array" ref="AI252">SUM(C252:AH252)</f>
        <v>0</v>
      </c>
    </row>
    <row r="253" spans="1:35" x14ac:dyDescent="0.25">
      <c r="A253">
        <v>244</v>
      </c>
      <c r="AI253" cm="1">
        <f t="array" ref="AI253">SUM(C253:AH253)</f>
        <v>0</v>
      </c>
    </row>
    <row r="254" spans="1:35" x14ac:dyDescent="0.25">
      <c r="A254">
        <v>245</v>
      </c>
      <c r="AI254" cm="1">
        <f t="array" ref="AI254">SUM(C254:AH254)</f>
        <v>0</v>
      </c>
    </row>
    <row r="255" spans="1:35" x14ac:dyDescent="0.25">
      <c r="A255">
        <v>246</v>
      </c>
      <c r="AI255" cm="1">
        <f t="array" ref="AI255">SUM(C255:AH255)</f>
        <v>0</v>
      </c>
    </row>
    <row r="256" spans="1:35" x14ac:dyDescent="0.25">
      <c r="A256">
        <v>247</v>
      </c>
      <c r="AI256" cm="1">
        <f t="array" ref="AI256">SUM(C256:AH256)</f>
        <v>0</v>
      </c>
    </row>
    <row r="257" spans="1:35" x14ac:dyDescent="0.25">
      <c r="A257">
        <v>248</v>
      </c>
      <c r="AI257" cm="1">
        <f t="array" ref="AI257">SUM(C257:AH257)</f>
        <v>0</v>
      </c>
    </row>
    <row r="258" spans="1:35" x14ac:dyDescent="0.25">
      <c r="A258">
        <v>249</v>
      </c>
      <c r="AI258" cm="1">
        <f t="array" ref="AI258">SUM(C258:AH258)</f>
        <v>0</v>
      </c>
    </row>
    <row r="259" spans="1:35" x14ac:dyDescent="0.25">
      <c r="A259">
        <v>250</v>
      </c>
      <c r="AI259" cm="1">
        <f t="array" ref="AI259">SUM(C259:AH259)</f>
        <v>0</v>
      </c>
    </row>
    <row r="260" spans="1:35" x14ac:dyDescent="0.25">
      <c r="A260">
        <v>251</v>
      </c>
      <c r="AI260" cm="1">
        <f t="array" ref="AI260">SUM(C260:AH260)</f>
        <v>0</v>
      </c>
    </row>
    <row r="261" spans="1:35" x14ac:dyDescent="0.25">
      <c r="A261">
        <v>252</v>
      </c>
      <c r="AI261" cm="1">
        <f t="array" ref="AI261">SUM(C261:AH261)</f>
        <v>0</v>
      </c>
    </row>
    <row r="262" spans="1:35" x14ac:dyDescent="0.25">
      <c r="A262">
        <v>253</v>
      </c>
      <c r="AI262" cm="1">
        <f t="array" ref="AI262">SUM(C262:AH262)</f>
        <v>0</v>
      </c>
    </row>
    <row r="263" spans="1:35" x14ac:dyDescent="0.25">
      <c r="A263">
        <v>254</v>
      </c>
      <c r="AI263" cm="1">
        <f t="array" ref="AI263">SUM(C263:AH263)</f>
        <v>0</v>
      </c>
    </row>
    <row r="264" spans="1:35" x14ac:dyDescent="0.25">
      <c r="A264">
        <v>255</v>
      </c>
      <c r="AI264" cm="1">
        <f t="array" ref="AI264">SUM(C264:AH264)</f>
        <v>0</v>
      </c>
    </row>
    <row r="265" spans="1:35" x14ac:dyDescent="0.25">
      <c r="A265">
        <v>256</v>
      </c>
      <c r="AI265" cm="1">
        <f t="array" ref="AI265">SUM(C265:AH265)</f>
        <v>0</v>
      </c>
    </row>
    <row r="266" spans="1:35" x14ac:dyDescent="0.25">
      <c r="A266">
        <v>257</v>
      </c>
      <c r="AI266" cm="1">
        <f t="array" ref="AI266">SUM(C266:AH266)</f>
        <v>0</v>
      </c>
    </row>
    <row r="267" spans="1:35" x14ac:dyDescent="0.25">
      <c r="A267">
        <v>258</v>
      </c>
      <c r="AI267" cm="1">
        <f t="array" ref="AI267">SUM(C267:AH267)</f>
        <v>0</v>
      </c>
    </row>
    <row r="268" spans="1:35" x14ac:dyDescent="0.25">
      <c r="A268">
        <v>259</v>
      </c>
      <c r="AI268" cm="1">
        <f t="array" ref="AI268">SUM(C268:AH268)</f>
        <v>0</v>
      </c>
    </row>
    <row r="269" spans="1:35" x14ac:dyDescent="0.25">
      <c r="A269">
        <v>260</v>
      </c>
      <c r="AI269" cm="1">
        <f t="array" ref="AI269">SUM(C269:AH269)</f>
        <v>0</v>
      </c>
    </row>
    <row r="270" spans="1:35" x14ac:dyDescent="0.25">
      <c r="A270">
        <v>261</v>
      </c>
      <c r="AI270" cm="1">
        <f t="array" ref="AI270">SUM(C270:AH270)</f>
        <v>0</v>
      </c>
    </row>
    <row r="271" spans="1:35" x14ac:dyDescent="0.25">
      <c r="A271">
        <v>262</v>
      </c>
      <c r="AI271" cm="1">
        <f t="array" ref="AI271">SUM(C271:AH271)</f>
        <v>0</v>
      </c>
    </row>
    <row r="272" spans="1:35" x14ac:dyDescent="0.25">
      <c r="A272">
        <v>263</v>
      </c>
      <c r="AI272" cm="1">
        <f t="array" ref="AI272">SUM(C272:AH272)</f>
        <v>0</v>
      </c>
    </row>
    <row r="273" spans="1:35" x14ac:dyDescent="0.25">
      <c r="A273">
        <v>264</v>
      </c>
      <c r="AI273" cm="1">
        <f t="array" ref="AI273">SUM(C273:AH273)</f>
        <v>0</v>
      </c>
    </row>
    <row r="274" spans="1:35" x14ac:dyDescent="0.25">
      <c r="A274">
        <v>265</v>
      </c>
      <c r="AI274" cm="1">
        <f t="array" ref="AI274">SUM(C274:AH274)</f>
        <v>0</v>
      </c>
    </row>
    <row r="275" spans="1:35" x14ac:dyDescent="0.25">
      <c r="A275">
        <v>266</v>
      </c>
      <c r="AI275" cm="1">
        <f t="array" ref="AI275">SUM(C275:AH275)</f>
        <v>0</v>
      </c>
    </row>
    <row r="276" spans="1:35" x14ac:dyDescent="0.25">
      <c r="A276">
        <v>267</v>
      </c>
      <c r="AI276" cm="1">
        <f t="array" ref="AI276">SUM(C276:AH276)</f>
        <v>0</v>
      </c>
    </row>
    <row r="277" spans="1:35" x14ac:dyDescent="0.25">
      <c r="A277">
        <v>268</v>
      </c>
      <c r="AI277" cm="1">
        <f t="array" ref="AI277">SUM(C277:AH277)</f>
        <v>0</v>
      </c>
    </row>
    <row r="278" spans="1:35" x14ac:dyDescent="0.25">
      <c r="A278">
        <v>269</v>
      </c>
      <c r="AI278" cm="1">
        <f t="array" ref="AI278">SUM(C278:AH278)</f>
        <v>0</v>
      </c>
    </row>
    <row r="279" spans="1:35" x14ac:dyDescent="0.25">
      <c r="A279">
        <v>270</v>
      </c>
      <c r="AI279" cm="1">
        <f t="array" ref="AI279">SUM(C279:AH279)</f>
        <v>0</v>
      </c>
    </row>
    <row r="280" spans="1:35" x14ac:dyDescent="0.25">
      <c r="A280">
        <v>271</v>
      </c>
      <c r="AI280" cm="1">
        <f t="array" ref="AI280">SUM(C280:AH280)</f>
        <v>0</v>
      </c>
    </row>
    <row r="281" spans="1:35" x14ac:dyDescent="0.25">
      <c r="A281">
        <v>272</v>
      </c>
      <c r="AI281" cm="1">
        <f t="array" ref="AI281">SUM(C281:AH281)</f>
        <v>0</v>
      </c>
    </row>
    <row r="282" spans="1:35" x14ac:dyDescent="0.25">
      <c r="A282">
        <v>273</v>
      </c>
      <c r="AI282" cm="1">
        <f t="array" ref="AI282">SUM(C282:AH282)</f>
        <v>0</v>
      </c>
    </row>
    <row r="283" spans="1:35" x14ac:dyDescent="0.25">
      <c r="A283">
        <v>274</v>
      </c>
      <c r="AI283" cm="1">
        <f t="array" ref="AI283">SUM(C283:AH283)</f>
        <v>0</v>
      </c>
    </row>
    <row r="284" spans="1:35" x14ac:dyDescent="0.25">
      <c r="A284">
        <v>275</v>
      </c>
      <c r="AI284" cm="1">
        <f t="array" ref="AI284">SUM(C284:AH284)</f>
        <v>0</v>
      </c>
    </row>
    <row r="285" spans="1:35" x14ac:dyDescent="0.25">
      <c r="A285">
        <v>276</v>
      </c>
      <c r="AI285" cm="1">
        <f t="array" ref="AI285">SUM(C285:AH285)</f>
        <v>0</v>
      </c>
    </row>
    <row r="286" spans="1:35" x14ac:dyDescent="0.25">
      <c r="A286">
        <v>277</v>
      </c>
      <c r="AI286" cm="1">
        <f t="array" ref="AI286">SUM(C286:AH286)</f>
        <v>0</v>
      </c>
    </row>
    <row r="287" spans="1:35" x14ac:dyDescent="0.25">
      <c r="A287">
        <v>278</v>
      </c>
      <c r="AI287" cm="1">
        <f t="array" ref="AI287">SUM(C287:AH287)</f>
        <v>0</v>
      </c>
    </row>
    <row r="288" spans="1:35" x14ac:dyDescent="0.25">
      <c r="A288">
        <v>279</v>
      </c>
      <c r="AI288" cm="1">
        <f t="array" ref="AI288">SUM(C288:AH288)</f>
        <v>0</v>
      </c>
    </row>
    <row r="289" spans="1:35" x14ac:dyDescent="0.25">
      <c r="A289">
        <v>280</v>
      </c>
      <c r="AI289" cm="1">
        <f t="array" ref="AI289">SUM(C289:AH289)</f>
        <v>0</v>
      </c>
    </row>
    <row r="290" spans="1:35" x14ac:dyDescent="0.25">
      <c r="A290">
        <v>281</v>
      </c>
      <c r="AI290" cm="1">
        <f t="array" ref="AI290">SUM(C290:AH290)</f>
        <v>0</v>
      </c>
    </row>
    <row r="291" spans="1:35" x14ac:dyDescent="0.25">
      <c r="A291">
        <v>282</v>
      </c>
      <c r="AI291" cm="1">
        <f t="array" ref="AI291">SUM(C291:AH291)</f>
        <v>0</v>
      </c>
    </row>
    <row r="292" spans="1:35" x14ac:dyDescent="0.25">
      <c r="A292">
        <v>283</v>
      </c>
      <c r="AI292" cm="1">
        <f t="array" ref="AI292">SUM(C292:AH292)</f>
        <v>0</v>
      </c>
    </row>
    <row r="293" spans="1:35" x14ac:dyDescent="0.25">
      <c r="A293">
        <v>284</v>
      </c>
      <c r="AI293" cm="1">
        <f t="array" ref="AI293">SUM(C293:AH293)</f>
        <v>0</v>
      </c>
    </row>
    <row r="294" spans="1:35" x14ac:dyDescent="0.25">
      <c r="A294">
        <v>285</v>
      </c>
      <c r="AI294" cm="1">
        <f t="array" ref="AI294">SUM(C294:AH294)</f>
        <v>0</v>
      </c>
    </row>
    <row r="295" spans="1:35" x14ac:dyDescent="0.25">
      <c r="A295">
        <v>286</v>
      </c>
      <c r="AI295" cm="1">
        <f t="array" ref="AI295">SUM(C295:AH295)</f>
        <v>0</v>
      </c>
    </row>
    <row r="296" spans="1:35" x14ac:dyDescent="0.25">
      <c r="A296">
        <v>287</v>
      </c>
      <c r="AI296" cm="1">
        <f t="array" ref="AI296">SUM(C296:AH296)</f>
        <v>0</v>
      </c>
    </row>
    <row r="297" spans="1:35" x14ac:dyDescent="0.25">
      <c r="A297">
        <v>288</v>
      </c>
      <c r="AI297" cm="1">
        <f t="array" ref="AI297">SUM(C297:AH297)</f>
        <v>0</v>
      </c>
    </row>
    <row r="298" spans="1:35" x14ac:dyDescent="0.25">
      <c r="A298">
        <v>289</v>
      </c>
      <c r="AI298" cm="1">
        <f t="array" ref="AI298">SUM(C298:AH298)</f>
        <v>0</v>
      </c>
    </row>
    <row r="299" spans="1:35" x14ac:dyDescent="0.25">
      <c r="A299">
        <v>290</v>
      </c>
      <c r="AI299" cm="1">
        <f t="array" ref="AI299">SUM(C299:AH299)</f>
        <v>0</v>
      </c>
    </row>
    <row r="300" spans="1:35" x14ac:dyDescent="0.25">
      <c r="A300">
        <v>291</v>
      </c>
      <c r="AI300" cm="1">
        <f t="array" ref="AI300">SUM(C300:AH300)</f>
        <v>0</v>
      </c>
    </row>
    <row r="301" spans="1:35" x14ac:dyDescent="0.25">
      <c r="A301">
        <v>292</v>
      </c>
      <c r="AI301" cm="1">
        <f t="array" ref="AI301">SUM(C301:AH301)</f>
        <v>0</v>
      </c>
    </row>
    <row r="302" spans="1:35" x14ac:dyDescent="0.25">
      <c r="A302">
        <v>293</v>
      </c>
      <c r="AI302" cm="1">
        <f t="array" ref="AI302">SUM(C302:AH302)</f>
        <v>0</v>
      </c>
    </row>
    <row r="303" spans="1:35" x14ac:dyDescent="0.25">
      <c r="A303">
        <v>294</v>
      </c>
      <c r="AI303" cm="1">
        <f t="array" ref="AI303">SUM(C303:AH303)</f>
        <v>0</v>
      </c>
    </row>
    <row r="304" spans="1:35" x14ac:dyDescent="0.25">
      <c r="A304">
        <v>295</v>
      </c>
      <c r="AI304" cm="1">
        <f t="array" ref="AI304">SUM(C304:AH304)</f>
        <v>0</v>
      </c>
    </row>
    <row r="305" spans="1:35" x14ac:dyDescent="0.25">
      <c r="A305">
        <v>296</v>
      </c>
      <c r="AI305" cm="1">
        <f t="array" ref="AI305">SUM(C305:AH305)</f>
        <v>0</v>
      </c>
    </row>
    <row r="306" spans="1:35" x14ac:dyDescent="0.25">
      <c r="A306">
        <v>297</v>
      </c>
      <c r="AI306" cm="1">
        <f t="array" ref="AI306">SUM(C306:AH306)</f>
        <v>0</v>
      </c>
    </row>
    <row r="307" spans="1:35" x14ac:dyDescent="0.25">
      <c r="A307">
        <v>298</v>
      </c>
      <c r="AI307" cm="1">
        <f t="array" ref="AI307">SUM(C307:AH307)</f>
        <v>0</v>
      </c>
    </row>
    <row r="308" spans="1:35" x14ac:dyDescent="0.25">
      <c r="A308">
        <v>299</v>
      </c>
      <c r="AI308" cm="1">
        <f t="array" ref="AI308">SUM(C308:AH308)</f>
        <v>0</v>
      </c>
    </row>
    <row r="309" spans="1:35" x14ac:dyDescent="0.25">
      <c r="A309">
        <v>300</v>
      </c>
      <c r="AI309" cm="1">
        <f t="array" ref="AI309">SUM(C309:AH309)</f>
        <v>0</v>
      </c>
    </row>
    <row r="310" spans="1:35" x14ac:dyDescent="0.25">
      <c r="A310">
        <v>301</v>
      </c>
      <c r="AI310" cm="1">
        <f t="array" ref="AI310">SUM(C310:AH310)</f>
        <v>0</v>
      </c>
    </row>
    <row r="311" spans="1:35" x14ac:dyDescent="0.25">
      <c r="A311">
        <v>302</v>
      </c>
      <c r="AI311" cm="1">
        <f t="array" ref="AI311">SUM(C311:AH311)</f>
        <v>0</v>
      </c>
    </row>
    <row r="312" spans="1:35" x14ac:dyDescent="0.25">
      <c r="A312">
        <v>303</v>
      </c>
      <c r="AI312" cm="1">
        <f t="array" ref="AI312">SUM(C312:AH312)</f>
        <v>0</v>
      </c>
    </row>
    <row r="313" spans="1:35" x14ac:dyDescent="0.25">
      <c r="A313">
        <v>304</v>
      </c>
      <c r="AI313" cm="1">
        <f t="array" ref="AI313">SUM(C313:AH313)</f>
        <v>0</v>
      </c>
    </row>
    <row r="314" spans="1:35" x14ac:dyDescent="0.25">
      <c r="A314">
        <v>305</v>
      </c>
      <c r="AI314" cm="1">
        <f t="array" ref="AI314">SUM(C314:AH314)</f>
        <v>0</v>
      </c>
    </row>
    <row r="315" spans="1:35" x14ac:dyDescent="0.25">
      <c r="A315">
        <v>306</v>
      </c>
      <c r="AI315" cm="1">
        <f t="array" ref="AI315">SUM(C315:AH315)</f>
        <v>0</v>
      </c>
    </row>
    <row r="316" spans="1:35" x14ac:dyDescent="0.25">
      <c r="A316">
        <v>307</v>
      </c>
      <c r="AI316" cm="1">
        <f t="array" ref="AI316">SUM(C316:AH316)</f>
        <v>0</v>
      </c>
    </row>
    <row r="317" spans="1:35" x14ac:dyDescent="0.25">
      <c r="A317">
        <v>308</v>
      </c>
      <c r="AI317" cm="1">
        <f t="array" ref="AI317">SUM(C317:AH317)</f>
        <v>0</v>
      </c>
    </row>
    <row r="318" spans="1:35" x14ac:dyDescent="0.25">
      <c r="A318">
        <v>309</v>
      </c>
      <c r="AI318" cm="1">
        <f t="array" ref="AI318">SUM(C318:AH318)</f>
        <v>0</v>
      </c>
    </row>
    <row r="319" spans="1:35" x14ac:dyDescent="0.25">
      <c r="A319">
        <v>310</v>
      </c>
      <c r="AI319" cm="1">
        <f t="array" ref="AI319">SUM(C319:AH319)</f>
        <v>0</v>
      </c>
    </row>
    <row r="320" spans="1:35" x14ac:dyDescent="0.25">
      <c r="A320">
        <v>311</v>
      </c>
      <c r="AI320" cm="1">
        <f t="array" ref="AI320">SUM(C320:AH320)</f>
        <v>0</v>
      </c>
    </row>
    <row r="321" spans="1:35" x14ac:dyDescent="0.25">
      <c r="A321">
        <v>312</v>
      </c>
      <c r="AI321" cm="1">
        <f t="array" ref="AI321">SUM(C321:AH321)</f>
        <v>0</v>
      </c>
    </row>
    <row r="322" spans="1:35" x14ac:dyDescent="0.25">
      <c r="A322">
        <v>313</v>
      </c>
      <c r="AI322" cm="1">
        <f t="array" ref="AI322">SUM(C322:AH322)</f>
        <v>0</v>
      </c>
    </row>
    <row r="323" spans="1:35" x14ac:dyDescent="0.25">
      <c r="A323">
        <v>314</v>
      </c>
      <c r="AI323" cm="1">
        <f t="array" ref="AI323">SUM(C323:AH323)</f>
        <v>0</v>
      </c>
    </row>
    <row r="324" spans="1:35" x14ac:dyDescent="0.25">
      <c r="A324">
        <v>315</v>
      </c>
      <c r="AI324" cm="1">
        <f t="array" ref="AI324">SUM(C324:AH324)</f>
        <v>0</v>
      </c>
    </row>
    <row r="325" spans="1:35" x14ac:dyDescent="0.25">
      <c r="A325">
        <v>316</v>
      </c>
      <c r="AI325" cm="1">
        <f t="array" ref="AI325">SUM(C325:AH325)</f>
        <v>0</v>
      </c>
    </row>
    <row r="326" spans="1:35" x14ac:dyDescent="0.25">
      <c r="A326">
        <v>317</v>
      </c>
      <c r="AI326" cm="1">
        <f t="array" ref="AI326">SUM(C326:AH326)</f>
        <v>0</v>
      </c>
    </row>
    <row r="327" spans="1:35" x14ac:dyDescent="0.25">
      <c r="A327">
        <v>318</v>
      </c>
      <c r="AI327" cm="1">
        <f t="array" ref="AI327">SUM(C327:AH327)</f>
        <v>0</v>
      </c>
    </row>
    <row r="328" spans="1:35" x14ac:dyDescent="0.25">
      <c r="A328">
        <v>319</v>
      </c>
      <c r="AI328" cm="1">
        <f t="array" ref="AI328">SUM(C328:AH328)</f>
        <v>0</v>
      </c>
    </row>
    <row r="329" spans="1:35" x14ac:dyDescent="0.25">
      <c r="A329">
        <v>320</v>
      </c>
      <c r="AI329" cm="1">
        <f t="array" ref="AI329">SUM(C329:AH329)</f>
        <v>0</v>
      </c>
    </row>
    <row r="330" spans="1:35" x14ac:dyDescent="0.25">
      <c r="A330">
        <v>321</v>
      </c>
      <c r="AI330" cm="1">
        <f t="array" ref="AI330">SUM(C330:AH330)</f>
        <v>0</v>
      </c>
    </row>
    <row r="331" spans="1:35" x14ac:dyDescent="0.25">
      <c r="A331">
        <v>322</v>
      </c>
      <c r="AI331" cm="1">
        <f t="array" ref="AI331">SUM(C331:AH331)</f>
        <v>0</v>
      </c>
    </row>
    <row r="332" spans="1:35" x14ac:dyDescent="0.25">
      <c r="A332">
        <v>323</v>
      </c>
      <c r="AI332" cm="1">
        <f t="array" ref="AI332">SUM(C332:AH332)</f>
        <v>0</v>
      </c>
    </row>
    <row r="333" spans="1:35" x14ac:dyDescent="0.25">
      <c r="A333">
        <v>324</v>
      </c>
      <c r="AI333" cm="1">
        <f t="array" ref="AI333">SUM(C333:AH333)</f>
        <v>0</v>
      </c>
    </row>
    <row r="334" spans="1:35" x14ac:dyDescent="0.25">
      <c r="A334">
        <v>325</v>
      </c>
      <c r="AI334" cm="1">
        <f t="array" ref="AI334">SUM(C334:AH334)</f>
        <v>0</v>
      </c>
    </row>
    <row r="335" spans="1:35" x14ac:dyDescent="0.25">
      <c r="A335">
        <v>326</v>
      </c>
      <c r="AI335" cm="1">
        <f t="array" ref="AI335">SUM(C335:AH335)</f>
        <v>0</v>
      </c>
    </row>
    <row r="336" spans="1:35" x14ac:dyDescent="0.25">
      <c r="A336">
        <v>327</v>
      </c>
      <c r="AI336" cm="1">
        <f t="array" ref="AI336">SUM(C336:AH336)</f>
        <v>0</v>
      </c>
    </row>
    <row r="337" spans="1:35" x14ac:dyDescent="0.25">
      <c r="A337">
        <v>328</v>
      </c>
      <c r="AI337" cm="1">
        <f t="array" ref="AI337">SUM(C337:AH337)</f>
        <v>0</v>
      </c>
    </row>
    <row r="338" spans="1:35" x14ac:dyDescent="0.25">
      <c r="A338">
        <v>329</v>
      </c>
      <c r="AI338" cm="1">
        <f t="array" ref="AI338">SUM(C338:AH338)</f>
        <v>0</v>
      </c>
    </row>
    <row r="339" spans="1:35" x14ac:dyDescent="0.25">
      <c r="A339">
        <v>330</v>
      </c>
      <c r="AI339" cm="1">
        <f t="array" ref="AI339">SUM(C339:AH339)</f>
        <v>0</v>
      </c>
    </row>
    <row r="340" spans="1:35" x14ac:dyDescent="0.25">
      <c r="A340">
        <v>331</v>
      </c>
      <c r="AI340" cm="1">
        <f t="array" ref="AI340">SUM(C340:AH340)</f>
        <v>0</v>
      </c>
    </row>
    <row r="341" spans="1:35" x14ac:dyDescent="0.25">
      <c r="A341">
        <v>332</v>
      </c>
      <c r="AI341" cm="1">
        <f t="array" ref="AI341">SUM(C341:AH341)</f>
        <v>0</v>
      </c>
    </row>
    <row r="342" spans="1:35" x14ac:dyDescent="0.25">
      <c r="A342">
        <v>333</v>
      </c>
      <c r="AI342" cm="1">
        <f t="array" ref="AI342">SUM(C342:AH342)</f>
        <v>0</v>
      </c>
    </row>
    <row r="343" spans="1:35" x14ac:dyDescent="0.25">
      <c r="A343">
        <v>334</v>
      </c>
      <c r="AI343" cm="1">
        <f t="array" ref="AI343">SUM(C343:AH343)</f>
        <v>0</v>
      </c>
    </row>
    <row r="344" spans="1:35" x14ac:dyDescent="0.25">
      <c r="A344">
        <v>335</v>
      </c>
      <c r="AI344" cm="1">
        <f t="array" ref="AI344">SUM(C344:AH344)</f>
        <v>0</v>
      </c>
    </row>
    <row r="345" spans="1:35" x14ac:dyDescent="0.25">
      <c r="A345">
        <v>336</v>
      </c>
      <c r="AI345" cm="1">
        <f t="array" ref="AI345">SUM(C345:AH345)</f>
        <v>0</v>
      </c>
    </row>
    <row r="346" spans="1:35" x14ac:dyDescent="0.25">
      <c r="A346">
        <v>337</v>
      </c>
      <c r="AI346" cm="1">
        <f t="array" ref="AI346">SUM(C346:AH346)</f>
        <v>0</v>
      </c>
    </row>
    <row r="347" spans="1:35" x14ac:dyDescent="0.25">
      <c r="A347">
        <v>338</v>
      </c>
      <c r="AI347" cm="1">
        <f t="array" ref="AI347">SUM(C347:AH347)</f>
        <v>0</v>
      </c>
    </row>
    <row r="348" spans="1:35" x14ac:dyDescent="0.25">
      <c r="A348">
        <v>339</v>
      </c>
      <c r="AI348" cm="1">
        <f t="array" ref="AI348">SUM(C348:AH348)</f>
        <v>0</v>
      </c>
    </row>
    <row r="349" spans="1:35" x14ac:dyDescent="0.25">
      <c r="A349">
        <v>340</v>
      </c>
      <c r="AI349" cm="1">
        <f t="array" ref="AI349">SUM(C349:AH349)</f>
        <v>0</v>
      </c>
    </row>
    <row r="350" spans="1:35" x14ac:dyDescent="0.25">
      <c r="A350">
        <v>341</v>
      </c>
      <c r="AI350" cm="1">
        <f t="array" ref="AI350">SUM(C350:AH350)</f>
        <v>0</v>
      </c>
    </row>
    <row r="351" spans="1:35" x14ac:dyDescent="0.25">
      <c r="A351">
        <v>342</v>
      </c>
      <c r="AI351" cm="1">
        <f t="array" ref="AI351">SUM(C351:AH351)</f>
        <v>0</v>
      </c>
    </row>
    <row r="352" spans="1:35" x14ac:dyDescent="0.25">
      <c r="A352">
        <v>343</v>
      </c>
      <c r="AI352" cm="1">
        <f t="array" ref="AI352">SUM(C352:AH352)</f>
        <v>0</v>
      </c>
    </row>
    <row r="353" spans="1:35" x14ac:dyDescent="0.25">
      <c r="A353">
        <v>344</v>
      </c>
      <c r="AI353" cm="1">
        <f t="array" ref="AI353">SUM(C353:AH353)</f>
        <v>0</v>
      </c>
    </row>
    <row r="354" spans="1:35" x14ac:dyDescent="0.25">
      <c r="A354">
        <v>345</v>
      </c>
      <c r="AI354" cm="1">
        <f t="array" ref="AI354">SUM(C354:AH354)</f>
        <v>0</v>
      </c>
    </row>
    <row r="355" spans="1:35" x14ac:dyDescent="0.25">
      <c r="A355">
        <v>346</v>
      </c>
      <c r="AI355" cm="1">
        <f t="array" ref="AI355">SUM(C355:AH355)</f>
        <v>0</v>
      </c>
    </row>
    <row r="356" spans="1:35" x14ac:dyDescent="0.25">
      <c r="A356">
        <v>347</v>
      </c>
      <c r="AI356" cm="1">
        <f t="array" ref="AI356">SUM(C356:AH356)</f>
        <v>0</v>
      </c>
    </row>
    <row r="357" spans="1:35" x14ac:dyDescent="0.25">
      <c r="A357">
        <v>348</v>
      </c>
      <c r="AI357" cm="1">
        <f t="array" ref="AI357">SUM(C357:AH357)</f>
        <v>0</v>
      </c>
    </row>
    <row r="358" spans="1:35" x14ac:dyDescent="0.25">
      <c r="A358">
        <v>349</v>
      </c>
      <c r="AI358" cm="1">
        <f t="array" ref="AI358">SUM(C358:AH358)</f>
        <v>0</v>
      </c>
    </row>
    <row r="359" spans="1:35" x14ac:dyDescent="0.25">
      <c r="A359">
        <v>350</v>
      </c>
      <c r="AI359" cm="1">
        <f t="array" ref="AI359">SUM(C359:AH359)</f>
        <v>0</v>
      </c>
    </row>
    <row r="360" spans="1:35" x14ac:dyDescent="0.25">
      <c r="A360">
        <v>351</v>
      </c>
      <c r="AI360" cm="1">
        <f t="array" ref="AI360">SUM(C360:AH360)</f>
        <v>0</v>
      </c>
    </row>
    <row r="361" spans="1:35" x14ac:dyDescent="0.25">
      <c r="A361">
        <v>352</v>
      </c>
      <c r="AI361" cm="1">
        <f t="array" ref="AI361">SUM(C361:AH361)</f>
        <v>0</v>
      </c>
    </row>
    <row r="362" spans="1:35" x14ac:dyDescent="0.25">
      <c r="A362">
        <v>353</v>
      </c>
      <c r="AI362" cm="1">
        <f t="array" ref="AI362">SUM(C362:AH362)</f>
        <v>0</v>
      </c>
    </row>
    <row r="363" spans="1:35" x14ac:dyDescent="0.25">
      <c r="A363">
        <v>354</v>
      </c>
      <c r="AI363" cm="1">
        <f t="array" ref="AI363">SUM(C363:AH363)</f>
        <v>0</v>
      </c>
    </row>
    <row r="364" spans="1:35" x14ac:dyDescent="0.25">
      <c r="A364">
        <v>355</v>
      </c>
      <c r="AI364" cm="1">
        <f t="array" ref="AI364">SUM(C364:AH364)</f>
        <v>0</v>
      </c>
    </row>
    <row r="365" spans="1:35" x14ac:dyDescent="0.25">
      <c r="A365">
        <v>356</v>
      </c>
      <c r="AI365" cm="1">
        <f t="array" ref="AI365">SUM(C365:AH365)</f>
        <v>0</v>
      </c>
    </row>
    <row r="366" spans="1:35" x14ac:dyDescent="0.25">
      <c r="A366">
        <v>357</v>
      </c>
      <c r="AI366" cm="1">
        <f t="array" ref="AI366">SUM(C366:AH366)</f>
        <v>0</v>
      </c>
    </row>
    <row r="367" spans="1:35" x14ac:dyDescent="0.25">
      <c r="A367">
        <v>358</v>
      </c>
      <c r="AI367" cm="1">
        <f t="array" ref="AI367">SUM(C367:AH367)</f>
        <v>0</v>
      </c>
    </row>
    <row r="368" spans="1:35" x14ac:dyDescent="0.25">
      <c r="A368">
        <v>359</v>
      </c>
      <c r="AI368" cm="1">
        <f t="array" ref="AI368">SUM(C368:AH368)</f>
        <v>0</v>
      </c>
    </row>
    <row r="369" spans="1:35" x14ac:dyDescent="0.25">
      <c r="A369">
        <v>360</v>
      </c>
      <c r="AI369" cm="1">
        <f t="array" ref="AI369">SUM(C369:AH369)</f>
        <v>0</v>
      </c>
    </row>
    <row r="370" spans="1:35" x14ac:dyDescent="0.25">
      <c r="A370">
        <v>361</v>
      </c>
      <c r="AI370" cm="1">
        <f t="array" ref="AI370">SUM(C370:AH370)</f>
        <v>0</v>
      </c>
    </row>
    <row r="371" spans="1:35" x14ac:dyDescent="0.25">
      <c r="A371">
        <v>362</v>
      </c>
      <c r="AI371" cm="1">
        <f t="array" ref="AI371">SUM(C371:AH371)</f>
        <v>0</v>
      </c>
    </row>
    <row r="372" spans="1:35" x14ac:dyDescent="0.25">
      <c r="A372">
        <v>363</v>
      </c>
      <c r="AI372" cm="1">
        <f t="array" ref="AI372">SUM(C372:AH372)</f>
        <v>0</v>
      </c>
    </row>
    <row r="373" spans="1:35" x14ac:dyDescent="0.25">
      <c r="A373">
        <v>364</v>
      </c>
      <c r="AI373" cm="1">
        <f t="array" ref="AI373">SUM(C373:AH373)</f>
        <v>0</v>
      </c>
    </row>
    <row r="374" spans="1:35" x14ac:dyDescent="0.25">
      <c r="A374">
        <v>365</v>
      </c>
      <c r="AI374" cm="1">
        <f t="array" ref="AI374">SUM(C374:AH374)</f>
        <v>0</v>
      </c>
    </row>
    <row r="375" spans="1:35" x14ac:dyDescent="0.25">
      <c r="A375">
        <v>366</v>
      </c>
      <c r="AI375" cm="1">
        <f t="array" ref="AI375">SUM(C375:AH375)</f>
        <v>0</v>
      </c>
    </row>
    <row r="376" spans="1:35" x14ac:dyDescent="0.25">
      <c r="A376">
        <v>367</v>
      </c>
      <c r="AI376" cm="1">
        <f t="array" ref="AI376">SUM(C376:AH376)</f>
        <v>0</v>
      </c>
    </row>
    <row r="377" spans="1:35" x14ac:dyDescent="0.25">
      <c r="A377">
        <v>368</v>
      </c>
      <c r="AI377" cm="1">
        <f t="array" ref="AI377">SUM(C377:AH377)</f>
        <v>0</v>
      </c>
    </row>
    <row r="378" spans="1:35" x14ac:dyDescent="0.25">
      <c r="A378">
        <v>369</v>
      </c>
      <c r="AI378" cm="1">
        <f t="array" ref="AI378">SUM(C378:AH378)</f>
        <v>0</v>
      </c>
    </row>
    <row r="379" spans="1:35" x14ac:dyDescent="0.25">
      <c r="A379">
        <v>370</v>
      </c>
      <c r="AI379" cm="1">
        <f t="array" ref="AI379">SUM(C379:AH379)</f>
        <v>0</v>
      </c>
    </row>
    <row r="380" spans="1:35" x14ac:dyDescent="0.25">
      <c r="A380">
        <v>371</v>
      </c>
      <c r="AI380" cm="1">
        <f t="array" ref="AI380">SUM(C380:AH380)</f>
        <v>0</v>
      </c>
    </row>
    <row r="381" spans="1:35" x14ac:dyDescent="0.25">
      <c r="A381">
        <v>372</v>
      </c>
      <c r="AI381" cm="1">
        <f t="array" ref="AI381">SUM(C381:AH381)</f>
        <v>0</v>
      </c>
    </row>
    <row r="382" spans="1:35" x14ac:dyDescent="0.25">
      <c r="A382">
        <v>373</v>
      </c>
      <c r="AI382" cm="1">
        <f t="array" ref="AI382">SUM(C382:AH382)</f>
        <v>0</v>
      </c>
    </row>
    <row r="383" spans="1:35" x14ac:dyDescent="0.25">
      <c r="A383">
        <v>374</v>
      </c>
      <c r="AI383" cm="1">
        <f t="array" ref="AI383">SUM(C383:AH383)</f>
        <v>0</v>
      </c>
    </row>
    <row r="384" spans="1:35" x14ac:dyDescent="0.25">
      <c r="A384">
        <v>375</v>
      </c>
      <c r="AI384" cm="1">
        <f t="array" ref="AI384">SUM(C384:AH384)</f>
        <v>0</v>
      </c>
    </row>
    <row r="385" spans="1:35" x14ac:dyDescent="0.25">
      <c r="A385">
        <v>376</v>
      </c>
      <c r="AI385" cm="1">
        <f t="array" ref="AI385">SUM(C385:AH385)</f>
        <v>0</v>
      </c>
    </row>
    <row r="386" spans="1:35" x14ac:dyDescent="0.25">
      <c r="A386">
        <v>377</v>
      </c>
      <c r="AI386" cm="1">
        <f t="array" ref="AI386">SUM(C386:AH386)</f>
        <v>0</v>
      </c>
    </row>
    <row r="387" spans="1:35" x14ac:dyDescent="0.25">
      <c r="A387">
        <v>378</v>
      </c>
      <c r="AI387" cm="1">
        <f t="array" ref="AI387">SUM(C387:AH387)</f>
        <v>0</v>
      </c>
    </row>
    <row r="388" spans="1:35" x14ac:dyDescent="0.25">
      <c r="A388">
        <v>379</v>
      </c>
      <c r="AI388" cm="1">
        <f t="array" ref="AI388">SUM(C388:AH388)</f>
        <v>0</v>
      </c>
    </row>
    <row r="389" spans="1:35" x14ac:dyDescent="0.25">
      <c r="A389">
        <v>380</v>
      </c>
      <c r="AI389" cm="1">
        <f t="array" ref="AI389">SUM(C389:AH389)</f>
        <v>0</v>
      </c>
    </row>
    <row r="390" spans="1:35" x14ac:dyDescent="0.25">
      <c r="A390">
        <v>381</v>
      </c>
      <c r="AI390" cm="1">
        <f t="array" ref="AI390">SUM(C390:AH390)</f>
        <v>0</v>
      </c>
    </row>
    <row r="391" spans="1:35" x14ac:dyDescent="0.25">
      <c r="A391">
        <v>382</v>
      </c>
      <c r="AI391" cm="1">
        <f t="array" ref="AI391">SUM(C391:AH391)</f>
        <v>0</v>
      </c>
    </row>
    <row r="392" spans="1:35" x14ac:dyDescent="0.25">
      <c r="A392">
        <v>383</v>
      </c>
      <c r="AI392" cm="1">
        <f t="array" ref="AI392">SUM(C392:AH392)</f>
        <v>0</v>
      </c>
    </row>
    <row r="393" spans="1:35" x14ac:dyDescent="0.25">
      <c r="A393">
        <v>384</v>
      </c>
      <c r="AI393" cm="1">
        <f t="array" ref="AI393">SUM(C393:AH393)</f>
        <v>0</v>
      </c>
    </row>
    <row r="394" spans="1:35" x14ac:dyDescent="0.25">
      <c r="A394">
        <v>385</v>
      </c>
      <c r="AI394" cm="1">
        <f t="array" ref="AI394">SUM(C394:AH394)</f>
        <v>0</v>
      </c>
    </row>
    <row r="395" spans="1:35" x14ac:dyDescent="0.25">
      <c r="A395">
        <v>386</v>
      </c>
      <c r="AI395" cm="1">
        <f t="array" ref="AI395">SUM(C395:AH395)</f>
        <v>0</v>
      </c>
    </row>
    <row r="396" spans="1:35" x14ac:dyDescent="0.25">
      <c r="A396">
        <v>387</v>
      </c>
      <c r="AI396" cm="1">
        <f t="array" ref="AI396">SUM(C396:AH396)</f>
        <v>0</v>
      </c>
    </row>
    <row r="397" spans="1:35" x14ac:dyDescent="0.25">
      <c r="A397">
        <v>388</v>
      </c>
      <c r="AI397" cm="1">
        <f t="array" ref="AI397">SUM(C397:AH397)</f>
        <v>0</v>
      </c>
    </row>
    <row r="398" spans="1:35" x14ac:dyDescent="0.25">
      <c r="A398">
        <v>389</v>
      </c>
      <c r="AI398" cm="1">
        <f t="array" ref="AI398">SUM(C398:AH398)</f>
        <v>0</v>
      </c>
    </row>
    <row r="399" spans="1:35" x14ac:dyDescent="0.25">
      <c r="A399">
        <v>390</v>
      </c>
      <c r="AI399" cm="1">
        <f t="array" ref="AI399">SUM(C399:AH399)</f>
        <v>0</v>
      </c>
    </row>
    <row r="400" spans="1:35" x14ac:dyDescent="0.25">
      <c r="A400">
        <v>391</v>
      </c>
      <c r="AI400" cm="1">
        <f t="array" ref="AI400">SUM(C400:AH400)</f>
        <v>0</v>
      </c>
    </row>
    <row r="401" spans="1:35" x14ac:dyDescent="0.25">
      <c r="A401">
        <v>392</v>
      </c>
      <c r="AI401" cm="1">
        <f t="array" ref="AI401">SUM(C401:AH401)</f>
        <v>0</v>
      </c>
    </row>
    <row r="402" spans="1:35" x14ac:dyDescent="0.25">
      <c r="A402">
        <v>393</v>
      </c>
      <c r="AI402" cm="1">
        <f t="array" ref="AI402">SUM(C402:AH402)</f>
        <v>0</v>
      </c>
    </row>
    <row r="403" spans="1:35" x14ac:dyDescent="0.25">
      <c r="A403">
        <v>394</v>
      </c>
      <c r="AI403" cm="1">
        <f t="array" ref="AI403">SUM(C403:AH403)</f>
        <v>0</v>
      </c>
    </row>
    <row r="404" spans="1:35" x14ac:dyDescent="0.25">
      <c r="A404">
        <v>395</v>
      </c>
      <c r="AI404" cm="1">
        <f t="array" ref="AI404">SUM(C404:AH404)</f>
        <v>0</v>
      </c>
    </row>
    <row r="405" spans="1:35" x14ac:dyDescent="0.25">
      <c r="A405">
        <v>396</v>
      </c>
      <c r="AI405" cm="1">
        <f t="array" ref="AI405">SUM(C405:AH405)</f>
        <v>0</v>
      </c>
    </row>
    <row r="406" spans="1:35" x14ac:dyDescent="0.25">
      <c r="A406">
        <v>397</v>
      </c>
      <c r="AI406" cm="1">
        <f t="array" ref="AI406">SUM(C406:AH406)</f>
        <v>0</v>
      </c>
    </row>
    <row r="407" spans="1:35" x14ac:dyDescent="0.25">
      <c r="A407">
        <v>398</v>
      </c>
      <c r="AI407" cm="1">
        <f t="array" ref="AI407">SUM(C407:AH407)</f>
        <v>0</v>
      </c>
    </row>
    <row r="408" spans="1:35" x14ac:dyDescent="0.25">
      <c r="A408">
        <v>399</v>
      </c>
      <c r="AI408" cm="1">
        <f t="array" ref="AI408">SUM(C408:AH408)</f>
        <v>0</v>
      </c>
    </row>
    <row r="409" spans="1:35" x14ac:dyDescent="0.25">
      <c r="A409">
        <v>400</v>
      </c>
      <c r="AI409" cm="1">
        <f t="array" ref="AI409">SUM(C409:AH409)</f>
        <v>0</v>
      </c>
    </row>
    <row r="410" spans="1:35" x14ac:dyDescent="0.25">
      <c r="A410">
        <v>401</v>
      </c>
      <c r="AI410" cm="1">
        <f t="array" ref="AI410">SUM(C410:AH410)</f>
        <v>0</v>
      </c>
    </row>
    <row r="411" spans="1:35" x14ac:dyDescent="0.25">
      <c r="A411">
        <v>402</v>
      </c>
      <c r="AI411" cm="1">
        <f t="array" ref="AI411">SUM(C411:AH411)</f>
        <v>0</v>
      </c>
    </row>
    <row r="412" spans="1:35" x14ac:dyDescent="0.25">
      <c r="A412">
        <v>403</v>
      </c>
      <c r="AI412" cm="1">
        <f t="array" ref="AI412">SUM(C412:AH412)</f>
        <v>0</v>
      </c>
    </row>
    <row r="413" spans="1:35" x14ac:dyDescent="0.25">
      <c r="A413">
        <v>404</v>
      </c>
      <c r="AI413" cm="1">
        <f t="array" ref="AI413">SUM(C413:AH413)</f>
        <v>0</v>
      </c>
    </row>
    <row r="414" spans="1:35" x14ac:dyDescent="0.25">
      <c r="A414">
        <v>405</v>
      </c>
      <c r="AI414" cm="1">
        <f t="array" ref="AI414">SUM(C414:AH414)</f>
        <v>0</v>
      </c>
    </row>
    <row r="415" spans="1:35" x14ac:dyDescent="0.25">
      <c r="A415">
        <v>406</v>
      </c>
      <c r="AI415" cm="1">
        <f t="array" ref="AI415">SUM(C415:AH415)</f>
        <v>0</v>
      </c>
    </row>
    <row r="416" spans="1:35" x14ac:dyDescent="0.25">
      <c r="A416">
        <v>407</v>
      </c>
      <c r="AI416" cm="1">
        <f t="array" ref="AI416">SUM(C416:AH416)</f>
        <v>0</v>
      </c>
    </row>
    <row r="417" spans="1:35" x14ac:dyDescent="0.25">
      <c r="A417">
        <v>408</v>
      </c>
      <c r="AI417" cm="1">
        <f t="array" ref="AI417">SUM(C417:AH417)</f>
        <v>0</v>
      </c>
    </row>
    <row r="418" spans="1:35" x14ac:dyDescent="0.25">
      <c r="A418">
        <v>409</v>
      </c>
      <c r="AI418" cm="1">
        <f t="array" ref="AI418">SUM(C418:AH418)</f>
        <v>0</v>
      </c>
    </row>
    <row r="419" spans="1:35" x14ac:dyDescent="0.25">
      <c r="A419">
        <v>410</v>
      </c>
      <c r="AI419" cm="1">
        <f t="array" ref="AI419">SUM(C419:AH419)</f>
        <v>0</v>
      </c>
    </row>
    <row r="420" spans="1:35" x14ac:dyDescent="0.25">
      <c r="A420">
        <v>411</v>
      </c>
      <c r="AI420" cm="1">
        <f t="array" ref="AI420">SUM(C420:AH420)</f>
        <v>0</v>
      </c>
    </row>
    <row r="421" spans="1:35" x14ac:dyDescent="0.25">
      <c r="A421">
        <v>412</v>
      </c>
      <c r="AI421" cm="1">
        <f t="array" ref="AI421">SUM(C421:AH421)</f>
        <v>0</v>
      </c>
    </row>
    <row r="422" spans="1:35" x14ac:dyDescent="0.25">
      <c r="A422">
        <v>413</v>
      </c>
      <c r="AI422" cm="1">
        <f t="array" ref="AI422">SUM(C422:AH422)</f>
        <v>0</v>
      </c>
    </row>
    <row r="423" spans="1:35" x14ac:dyDescent="0.25">
      <c r="A423">
        <v>414</v>
      </c>
      <c r="AI423" cm="1">
        <f t="array" ref="AI423">SUM(C423:AH423)</f>
        <v>0</v>
      </c>
    </row>
    <row r="424" spans="1:35" x14ac:dyDescent="0.25">
      <c r="A424">
        <v>415</v>
      </c>
      <c r="AI424" cm="1">
        <f t="array" ref="AI424">SUM(C424:AH424)</f>
        <v>0</v>
      </c>
    </row>
    <row r="425" spans="1:35" x14ac:dyDescent="0.25">
      <c r="A425">
        <v>416</v>
      </c>
      <c r="AI425" cm="1">
        <f t="array" ref="AI425">SUM(C425:AH425)</f>
        <v>0</v>
      </c>
    </row>
    <row r="426" spans="1:35" x14ac:dyDescent="0.25">
      <c r="A426">
        <v>417</v>
      </c>
      <c r="AI426" cm="1">
        <f t="array" ref="AI426">SUM(C426:AH426)</f>
        <v>0</v>
      </c>
    </row>
    <row r="427" spans="1:35" x14ac:dyDescent="0.25">
      <c r="A427">
        <v>418</v>
      </c>
      <c r="AI427" cm="1">
        <f t="array" ref="AI427">SUM(C427:AH427)</f>
        <v>0</v>
      </c>
    </row>
    <row r="428" spans="1:35" x14ac:dyDescent="0.25">
      <c r="A428">
        <v>419</v>
      </c>
      <c r="AI428" cm="1">
        <f t="array" ref="AI428">SUM(C428:AH428)</f>
        <v>0</v>
      </c>
    </row>
    <row r="429" spans="1:35" x14ac:dyDescent="0.25">
      <c r="A429">
        <v>420</v>
      </c>
      <c r="AI429" cm="1">
        <f t="array" ref="AI429">SUM(C429:AH429)</f>
        <v>0</v>
      </c>
    </row>
    <row r="430" spans="1:35" x14ac:dyDescent="0.25">
      <c r="A430">
        <v>421</v>
      </c>
      <c r="AI430" cm="1">
        <f t="array" ref="AI430">SUM(C430:AH430)</f>
        <v>0</v>
      </c>
    </row>
    <row r="431" spans="1:35" x14ac:dyDescent="0.25">
      <c r="A431">
        <v>422</v>
      </c>
      <c r="AI431" cm="1">
        <f t="array" ref="AI431">SUM(C431:AH431)</f>
        <v>0</v>
      </c>
    </row>
    <row r="432" spans="1:35" x14ac:dyDescent="0.25">
      <c r="A432">
        <v>423</v>
      </c>
      <c r="AI432" cm="1">
        <f t="array" ref="AI432">SUM(C432:AH432)</f>
        <v>0</v>
      </c>
    </row>
    <row r="433" spans="1:35" x14ac:dyDescent="0.25">
      <c r="A433">
        <v>424</v>
      </c>
      <c r="AI433" cm="1">
        <f t="array" ref="AI433">SUM(C433:AH433)</f>
        <v>0</v>
      </c>
    </row>
    <row r="434" spans="1:35" x14ac:dyDescent="0.25">
      <c r="A434">
        <v>425</v>
      </c>
      <c r="AI434" cm="1">
        <f t="array" ref="AI434">SUM(C434:AH434)</f>
        <v>0</v>
      </c>
    </row>
    <row r="435" spans="1:35" x14ac:dyDescent="0.25">
      <c r="A435">
        <v>426</v>
      </c>
      <c r="AI435" cm="1">
        <f t="array" ref="AI435">SUM(C435:AH435)</f>
        <v>0</v>
      </c>
    </row>
    <row r="436" spans="1:35" x14ac:dyDescent="0.25">
      <c r="A436">
        <v>427</v>
      </c>
      <c r="AI436" cm="1">
        <f t="array" ref="AI436">SUM(C436:AH436)</f>
        <v>0</v>
      </c>
    </row>
    <row r="437" spans="1:35" x14ac:dyDescent="0.25">
      <c r="A437">
        <v>428</v>
      </c>
      <c r="AI437" cm="1">
        <f t="array" ref="AI437">SUM(C437:AH437)</f>
        <v>0</v>
      </c>
    </row>
    <row r="438" spans="1:35" x14ac:dyDescent="0.25">
      <c r="A438">
        <v>429</v>
      </c>
      <c r="AI438" cm="1">
        <f t="array" ref="AI438">SUM(C438:AH438)</f>
        <v>0</v>
      </c>
    </row>
    <row r="439" spans="1:35" x14ac:dyDescent="0.25">
      <c r="A439">
        <v>430</v>
      </c>
      <c r="AI439" cm="1">
        <f t="array" ref="AI439">SUM(C439:AH439)</f>
        <v>0</v>
      </c>
    </row>
    <row r="440" spans="1:35" x14ac:dyDescent="0.25">
      <c r="A440">
        <v>431</v>
      </c>
      <c r="AI440" cm="1">
        <f t="array" ref="AI440">SUM(C440:AH440)</f>
        <v>0</v>
      </c>
    </row>
    <row r="441" spans="1:35" x14ac:dyDescent="0.25">
      <c r="A441">
        <v>432</v>
      </c>
      <c r="AI441" cm="1">
        <f t="array" ref="AI441">SUM(C441:AH441)</f>
        <v>0</v>
      </c>
    </row>
    <row r="442" spans="1:35" x14ac:dyDescent="0.25">
      <c r="A442">
        <v>433</v>
      </c>
      <c r="AI442" cm="1">
        <f t="array" ref="AI442">SUM(C442:AH442)</f>
        <v>0</v>
      </c>
    </row>
    <row r="443" spans="1:35" x14ac:dyDescent="0.25">
      <c r="A443">
        <v>434</v>
      </c>
      <c r="AI443" cm="1">
        <f t="array" ref="AI443">SUM(C443:AH443)</f>
        <v>0</v>
      </c>
    </row>
    <row r="444" spans="1:35" x14ac:dyDescent="0.25">
      <c r="A444">
        <v>435</v>
      </c>
      <c r="AI444" cm="1">
        <f t="array" ref="AI444">SUM(C444:AH444)</f>
        <v>0</v>
      </c>
    </row>
    <row r="445" spans="1:35" x14ac:dyDescent="0.25">
      <c r="A445">
        <v>436</v>
      </c>
      <c r="AI445" cm="1">
        <f t="array" ref="AI445">SUM(C445:AH445)</f>
        <v>0</v>
      </c>
    </row>
    <row r="446" spans="1:35" x14ac:dyDescent="0.25">
      <c r="A446">
        <v>437</v>
      </c>
      <c r="AI446" cm="1">
        <f t="array" ref="AI446">SUM(C446:AH446)</f>
        <v>0</v>
      </c>
    </row>
    <row r="447" spans="1:35" x14ac:dyDescent="0.25">
      <c r="A447">
        <v>438</v>
      </c>
      <c r="AI447" cm="1">
        <f t="array" ref="AI447">SUM(C447:AH447)</f>
        <v>0</v>
      </c>
    </row>
    <row r="448" spans="1:35" x14ac:dyDescent="0.25">
      <c r="A448">
        <v>439</v>
      </c>
      <c r="AI448" cm="1">
        <f t="array" ref="AI448">SUM(C448:AH448)</f>
        <v>0</v>
      </c>
    </row>
    <row r="449" spans="1:35" x14ac:dyDescent="0.25">
      <c r="A449">
        <v>440</v>
      </c>
      <c r="AI449" cm="1">
        <f t="array" ref="AI449">SUM(C449:AH449)</f>
        <v>0</v>
      </c>
    </row>
    <row r="450" spans="1:35" x14ac:dyDescent="0.25">
      <c r="A450">
        <v>441</v>
      </c>
      <c r="AI450" cm="1">
        <f t="array" ref="AI450">SUM(C450:AH450)</f>
        <v>0</v>
      </c>
    </row>
    <row r="451" spans="1:35" x14ac:dyDescent="0.25">
      <c r="A451">
        <v>442</v>
      </c>
      <c r="AI451" cm="1">
        <f t="array" ref="AI451">SUM(C451:AH451)</f>
        <v>0</v>
      </c>
    </row>
    <row r="452" spans="1:35" x14ac:dyDescent="0.25">
      <c r="A452">
        <v>443</v>
      </c>
      <c r="AI452" cm="1">
        <f t="array" ref="AI452">SUM(C452:AH452)</f>
        <v>0</v>
      </c>
    </row>
    <row r="453" spans="1:35" x14ac:dyDescent="0.25">
      <c r="A453">
        <v>444</v>
      </c>
      <c r="AI453" cm="1">
        <f t="array" ref="AI453">SUM(C453:AH453)</f>
        <v>0</v>
      </c>
    </row>
    <row r="454" spans="1:35" x14ac:dyDescent="0.25">
      <c r="A454">
        <v>445</v>
      </c>
      <c r="AI454" cm="1">
        <f t="array" ref="AI454">SUM(C454:AH454)</f>
        <v>0</v>
      </c>
    </row>
    <row r="455" spans="1:35" x14ac:dyDescent="0.25">
      <c r="A455">
        <v>446</v>
      </c>
      <c r="AI455" cm="1">
        <f t="array" ref="AI455">SUM(C455:AH455)</f>
        <v>0</v>
      </c>
    </row>
    <row r="456" spans="1:35" x14ac:dyDescent="0.25">
      <c r="A456">
        <v>447</v>
      </c>
      <c r="AI456" cm="1">
        <f t="array" ref="AI456">SUM(C456:AH456)</f>
        <v>0</v>
      </c>
    </row>
    <row r="457" spans="1:35" x14ac:dyDescent="0.25">
      <c r="A457">
        <v>448</v>
      </c>
      <c r="AI457" cm="1">
        <f t="array" ref="AI457">SUM(C457:AH457)</f>
        <v>0</v>
      </c>
    </row>
    <row r="458" spans="1:35" x14ac:dyDescent="0.25">
      <c r="A458">
        <v>449</v>
      </c>
      <c r="AI458" cm="1">
        <f t="array" ref="AI458">SUM(C458:AH458)</f>
        <v>0</v>
      </c>
    </row>
    <row r="459" spans="1:35" x14ac:dyDescent="0.25">
      <c r="A459">
        <v>450</v>
      </c>
      <c r="AI459" cm="1">
        <f t="array" ref="AI459">SUM(C459:AH459)</f>
        <v>0</v>
      </c>
    </row>
    <row r="460" spans="1:35" x14ac:dyDescent="0.25">
      <c r="A460">
        <v>451</v>
      </c>
      <c r="AI460" cm="1">
        <f t="array" ref="AI460">SUM(C460:AH460)</f>
        <v>0</v>
      </c>
    </row>
    <row r="461" spans="1:35" x14ac:dyDescent="0.25">
      <c r="A461">
        <v>452</v>
      </c>
      <c r="AI461" cm="1">
        <f t="array" ref="AI461">SUM(C461:AH461)</f>
        <v>0</v>
      </c>
    </row>
    <row r="462" spans="1:35" x14ac:dyDescent="0.25">
      <c r="A462">
        <v>453</v>
      </c>
      <c r="AI462" cm="1">
        <f t="array" ref="AI462">SUM(C462:AH462)</f>
        <v>0</v>
      </c>
    </row>
    <row r="463" spans="1:35" x14ac:dyDescent="0.25">
      <c r="A463">
        <v>454</v>
      </c>
      <c r="AI463" cm="1">
        <f t="array" ref="AI463">SUM(C463:AH463)</f>
        <v>0</v>
      </c>
    </row>
    <row r="464" spans="1:35" x14ac:dyDescent="0.25">
      <c r="A464">
        <v>455</v>
      </c>
      <c r="AI464" cm="1">
        <f t="array" ref="AI464">SUM(C464:AH464)</f>
        <v>0</v>
      </c>
    </row>
    <row r="465" spans="1:35" x14ac:dyDescent="0.25">
      <c r="A465">
        <v>456</v>
      </c>
      <c r="AI465" cm="1">
        <f t="array" ref="AI465">SUM(C465:AH465)</f>
        <v>0</v>
      </c>
    </row>
    <row r="466" spans="1:35" x14ac:dyDescent="0.25">
      <c r="A466">
        <v>457</v>
      </c>
      <c r="AI466" cm="1">
        <f t="array" ref="AI466">SUM(C466:AH466)</f>
        <v>0</v>
      </c>
    </row>
    <row r="467" spans="1:35" x14ac:dyDescent="0.25">
      <c r="A467">
        <v>458</v>
      </c>
      <c r="AI467" cm="1">
        <f t="array" ref="AI467">SUM(C467:AH467)</f>
        <v>0</v>
      </c>
    </row>
    <row r="468" spans="1:35" x14ac:dyDescent="0.25">
      <c r="A468">
        <v>459</v>
      </c>
      <c r="AI468" cm="1">
        <f t="array" ref="AI468">SUM(C468:AH468)</f>
        <v>0</v>
      </c>
    </row>
    <row r="469" spans="1:35" x14ac:dyDescent="0.25">
      <c r="A469">
        <v>460</v>
      </c>
      <c r="AI469" cm="1">
        <f t="array" ref="AI469">SUM(C469:AH469)</f>
        <v>0</v>
      </c>
    </row>
    <row r="470" spans="1:35" x14ac:dyDescent="0.25">
      <c r="A470">
        <v>461</v>
      </c>
      <c r="AI470" cm="1">
        <f t="array" ref="AI470">SUM(C470:AH470)</f>
        <v>0</v>
      </c>
    </row>
    <row r="471" spans="1:35" x14ac:dyDescent="0.25">
      <c r="A471">
        <v>462</v>
      </c>
      <c r="AI471" cm="1">
        <f t="array" ref="AI471">SUM(C471:AH471)</f>
        <v>0</v>
      </c>
    </row>
    <row r="472" spans="1:35" x14ac:dyDescent="0.25">
      <c r="A472">
        <v>463</v>
      </c>
      <c r="AI472" cm="1">
        <f t="array" ref="AI472">SUM(C472:AH472)</f>
        <v>0</v>
      </c>
    </row>
    <row r="473" spans="1:35" x14ac:dyDescent="0.25">
      <c r="A473">
        <v>464</v>
      </c>
      <c r="AI473" cm="1">
        <f t="array" ref="AI473">SUM(C473:AH473)</f>
        <v>0</v>
      </c>
    </row>
    <row r="474" spans="1:35" x14ac:dyDescent="0.25">
      <c r="A474">
        <v>465</v>
      </c>
      <c r="AI474" cm="1">
        <f t="array" ref="AI474">SUM(C474:AH474)</f>
        <v>0</v>
      </c>
    </row>
    <row r="475" spans="1:35" x14ac:dyDescent="0.25">
      <c r="A475">
        <v>466</v>
      </c>
      <c r="AI475" cm="1">
        <f t="array" ref="AI475">SUM(C475:AH475)</f>
        <v>0</v>
      </c>
    </row>
    <row r="476" spans="1:35" x14ac:dyDescent="0.25">
      <c r="A476">
        <v>467</v>
      </c>
      <c r="AI476" cm="1">
        <f t="array" ref="AI476">SUM(C476:AH476)</f>
        <v>0</v>
      </c>
    </row>
    <row r="477" spans="1:35" x14ac:dyDescent="0.25">
      <c r="A477">
        <v>468</v>
      </c>
      <c r="AI477" cm="1">
        <f t="array" ref="AI477">SUM(C477:AH477)</f>
        <v>0</v>
      </c>
    </row>
    <row r="478" spans="1:35" x14ac:dyDescent="0.25">
      <c r="A478">
        <v>469</v>
      </c>
      <c r="AI478" cm="1">
        <f t="array" ref="AI478">SUM(C478:AH478)</f>
        <v>0</v>
      </c>
    </row>
    <row r="479" spans="1:35" x14ac:dyDescent="0.25">
      <c r="A479">
        <v>470</v>
      </c>
      <c r="AI479" cm="1">
        <f t="array" ref="AI479">SUM(C479:AH479)</f>
        <v>0</v>
      </c>
    </row>
    <row r="480" spans="1:35" x14ac:dyDescent="0.25">
      <c r="A480">
        <v>471</v>
      </c>
      <c r="AI480" cm="1">
        <f t="array" ref="AI480">SUM(C480:AH480)</f>
        <v>0</v>
      </c>
    </row>
    <row r="481" spans="1:35" x14ac:dyDescent="0.25">
      <c r="A481">
        <v>472</v>
      </c>
      <c r="AI481" cm="1">
        <f t="array" ref="AI481">SUM(C481:AH481)</f>
        <v>0</v>
      </c>
    </row>
    <row r="482" spans="1:35" x14ac:dyDescent="0.25">
      <c r="A482">
        <v>473</v>
      </c>
      <c r="AI482" cm="1">
        <f t="array" ref="AI482">SUM(C482:AH482)</f>
        <v>0</v>
      </c>
    </row>
    <row r="483" spans="1:35" x14ac:dyDescent="0.25">
      <c r="A483">
        <v>474</v>
      </c>
      <c r="AI483" cm="1">
        <f t="array" ref="AI483">SUM(C483:AH483)</f>
        <v>0</v>
      </c>
    </row>
    <row r="484" spans="1:35" x14ac:dyDescent="0.25">
      <c r="A484">
        <v>475</v>
      </c>
      <c r="AI484" cm="1">
        <f t="array" ref="AI484">SUM(C484:AH484)</f>
        <v>0</v>
      </c>
    </row>
    <row r="485" spans="1:35" x14ac:dyDescent="0.25">
      <c r="A485">
        <v>476</v>
      </c>
      <c r="AI485" cm="1">
        <f t="array" ref="AI485">SUM(C485:AH485)</f>
        <v>0</v>
      </c>
    </row>
    <row r="486" spans="1:35" x14ac:dyDescent="0.25">
      <c r="A486">
        <v>477</v>
      </c>
      <c r="AI486" cm="1">
        <f t="array" ref="AI486">SUM(C486:AH486)</f>
        <v>0</v>
      </c>
    </row>
    <row r="487" spans="1:35" x14ac:dyDescent="0.25">
      <c r="A487">
        <v>478</v>
      </c>
      <c r="AI487" cm="1">
        <f t="array" ref="AI487">SUM(C487:AH487)</f>
        <v>0</v>
      </c>
    </row>
    <row r="488" spans="1:35" x14ac:dyDescent="0.25">
      <c r="A488">
        <v>479</v>
      </c>
      <c r="AI488" cm="1">
        <f t="array" ref="AI488">SUM(C488:AH488)</f>
        <v>0</v>
      </c>
    </row>
    <row r="489" spans="1:35" x14ac:dyDescent="0.25">
      <c r="A489">
        <v>480</v>
      </c>
      <c r="AI489" cm="1">
        <f t="array" ref="AI489">SUM(C489:AH489)</f>
        <v>0</v>
      </c>
    </row>
    <row r="490" spans="1:35" x14ac:dyDescent="0.25">
      <c r="A490">
        <v>481</v>
      </c>
      <c r="AI490" cm="1">
        <f t="array" ref="AI490">SUM(C490:AH490)</f>
        <v>0</v>
      </c>
    </row>
    <row r="491" spans="1:35" x14ac:dyDescent="0.25">
      <c r="A491">
        <v>482</v>
      </c>
      <c r="AI491" cm="1">
        <f t="array" ref="AI491">SUM(C491:AH491)</f>
        <v>0</v>
      </c>
    </row>
    <row r="492" spans="1:35" x14ac:dyDescent="0.25">
      <c r="A492">
        <v>483</v>
      </c>
      <c r="AI492" cm="1">
        <f t="array" ref="AI492">SUM(C492:AH492)</f>
        <v>0</v>
      </c>
    </row>
    <row r="493" spans="1:35" x14ac:dyDescent="0.25">
      <c r="A493">
        <v>484</v>
      </c>
      <c r="AI493" cm="1">
        <f t="array" ref="AI493">SUM(C493:AH493)</f>
        <v>0</v>
      </c>
    </row>
    <row r="494" spans="1:35" x14ac:dyDescent="0.25">
      <c r="A494">
        <v>485</v>
      </c>
      <c r="AI494" cm="1">
        <f t="array" ref="AI494">SUM(C494:AH494)</f>
        <v>0</v>
      </c>
    </row>
    <row r="495" spans="1:35" x14ac:dyDescent="0.25">
      <c r="A495">
        <v>486</v>
      </c>
      <c r="AI495" cm="1">
        <f t="array" ref="AI495">SUM(C495:AH495)</f>
        <v>0</v>
      </c>
    </row>
    <row r="496" spans="1:35" x14ac:dyDescent="0.25">
      <c r="A496">
        <v>487</v>
      </c>
      <c r="AI496" cm="1">
        <f t="array" ref="AI496">SUM(C496:AH496)</f>
        <v>0</v>
      </c>
    </row>
    <row r="497" spans="1:35" x14ac:dyDescent="0.25">
      <c r="A497">
        <v>488</v>
      </c>
      <c r="AI497" cm="1">
        <f t="array" ref="AI497">SUM(C497:AH497)</f>
        <v>0</v>
      </c>
    </row>
    <row r="498" spans="1:35" x14ac:dyDescent="0.25">
      <c r="A498">
        <v>489</v>
      </c>
      <c r="AI498" cm="1">
        <f t="array" ref="AI498">SUM(C498:AH498)</f>
        <v>0</v>
      </c>
    </row>
    <row r="499" spans="1:35" x14ac:dyDescent="0.25">
      <c r="A499">
        <v>490</v>
      </c>
      <c r="AI499" cm="1">
        <f t="array" ref="AI499">SUM(C499:AH499)</f>
        <v>0</v>
      </c>
    </row>
    <row r="500" spans="1:35" x14ac:dyDescent="0.25">
      <c r="A500">
        <v>491</v>
      </c>
      <c r="AI500" cm="1">
        <f t="array" ref="AI500">SUM(C500:AH500)</f>
        <v>0</v>
      </c>
    </row>
    <row r="501" spans="1:35" x14ac:dyDescent="0.25">
      <c r="A501">
        <v>492</v>
      </c>
      <c r="AI501" cm="1">
        <f t="array" ref="AI501">SUM(C501:AH501)</f>
        <v>0</v>
      </c>
    </row>
    <row r="502" spans="1:35" x14ac:dyDescent="0.25">
      <c r="A502">
        <v>493</v>
      </c>
      <c r="AI502" cm="1">
        <f t="array" ref="AI502">SUM(C502:AH502)</f>
        <v>0</v>
      </c>
    </row>
    <row r="503" spans="1:35" x14ac:dyDescent="0.25">
      <c r="A503">
        <v>494</v>
      </c>
      <c r="AI503" cm="1">
        <f t="array" ref="AI503">SUM(C503:AH503)</f>
        <v>0</v>
      </c>
    </row>
    <row r="504" spans="1:35" x14ac:dyDescent="0.25">
      <c r="A504">
        <v>495</v>
      </c>
      <c r="AI504" cm="1">
        <f t="array" ref="AI504">SUM(C504:AH504)</f>
        <v>0</v>
      </c>
    </row>
    <row r="505" spans="1:35" x14ac:dyDescent="0.25">
      <c r="A505">
        <v>496</v>
      </c>
      <c r="AI505" cm="1">
        <f t="array" ref="AI505">SUM(C505:AH505)</f>
        <v>0</v>
      </c>
    </row>
    <row r="506" spans="1:35" x14ac:dyDescent="0.25">
      <c r="A506">
        <v>497</v>
      </c>
      <c r="AI506" cm="1">
        <f t="array" ref="AI506">SUM(C506:AH506)</f>
        <v>0</v>
      </c>
    </row>
    <row r="507" spans="1:35" x14ac:dyDescent="0.25">
      <c r="A507">
        <v>498</v>
      </c>
      <c r="AI507" cm="1">
        <f t="array" ref="AI507">SUM(C507:AH507)</f>
        <v>0</v>
      </c>
    </row>
    <row r="508" spans="1:35" x14ac:dyDescent="0.25">
      <c r="A508">
        <v>499</v>
      </c>
      <c r="AI508" cm="1">
        <f t="array" ref="AI508">SUM(C508:AH508)</f>
        <v>0</v>
      </c>
    </row>
    <row r="509" spans="1:35" x14ac:dyDescent="0.25">
      <c r="A509">
        <v>500</v>
      </c>
      <c r="AI509" cm="1">
        <f t="array" ref="AI509">SUM(C509:AH509)</f>
        <v>0</v>
      </c>
    </row>
    <row r="510" spans="1:35" x14ac:dyDescent="0.25">
      <c r="A510">
        <v>501</v>
      </c>
      <c r="AI510" cm="1">
        <f t="array" ref="AI510">SUM(C510:AH510)</f>
        <v>0</v>
      </c>
    </row>
    <row r="511" spans="1:35" x14ac:dyDescent="0.25">
      <c r="A511">
        <v>502</v>
      </c>
      <c r="AI511" cm="1">
        <f t="array" ref="AI511">SUM(C511:AH511)</f>
        <v>0</v>
      </c>
    </row>
    <row r="512" spans="1:35" x14ac:dyDescent="0.25">
      <c r="A512">
        <v>503</v>
      </c>
      <c r="AI512" cm="1">
        <f t="array" ref="AI512">SUM(C512:AH512)</f>
        <v>0</v>
      </c>
    </row>
    <row r="513" spans="1:35" x14ac:dyDescent="0.25">
      <c r="A513">
        <v>504</v>
      </c>
      <c r="AI513" cm="1">
        <f t="array" ref="AI513">SUM(C513:AH513)</f>
        <v>0</v>
      </c>
    </row>
    <row r="514" spans="1:35" x14ac:dyDescent="0.25">
      <c r="A514">
        <v>505</v>
      </c>
      <c r="AI514" cm="1">
        <f t="array" ref="AI514">SUM(C514:AH514)</f>
        <v>0</v>
      </c>
    </row>
    <row r="515" spans="1:35" x14ac:dyDescent="0.25">
      <c r="A515">
        <v>506</v>
      </c>
      <c r="AI515" cm="1">
        <f t="array" ref="AI515">SUM(C515:AH515)</f>
        <v>0</v>
      </c>
    </row>
    <row r="516" spans="1:35" x14ac:dyDescent="0.25">
      <c r="A516">
        <v>507</v>
      </c>
      <c r="AI516" cm="1">
        <f t="array" ref="AI516">SUM(C516:AH516)</f>
        <v>0</v>
      </c>
    </row>
    <row r="517" spans="1:35" x14ac:dyDescent="0.25">
      <c r="A517">
        <v>508</v>
      </c>
      <c r="AI517" cm="1">
        <f t="array" ref="AI517">SUM(C517:AH517)</f>
        <v>0</v>
      </c>
    </row>
    <row r="518" spans="1:35" x14ac:dyDescent="0.25">
      <c r="A518">
        <v>509</v>
      </c>
      <c r="AI518" cm="1">
        <f t="array" ref="AI518">SUM(C518:AH518)</f>
        <v>0</v>
      </c>
    </row>
    <row r="519" spans="1:35" x14ac:dyDescent="0.25">
      <c r="A519">
        <v>510</v>
      </c>
      <c r="AI519" cm="1">
        <f t="array" ref="AI519">SUM(C519:AH519)</f>
        <v>0</v>
      </c>
    </row>
    <row r="520" spans="1:35" x14ac:dyDescent="0.25">
      <c r="A520">
        <v>511</v>
      </c>
      <c r="AI520" cm="1">
        <f t="array" ref="AI520">SUM(C520:AH520)</f>
        <v>0</v>
      </c>
    </row>
    <row r="521" spans="1:35" x14ac:dyDescent="0.25">
      <c r="A521">
        <v>512</v>
      </c>
      <c r="AI521" cm="1">
        <f t="array" ref="AI521">SUM(C521:AH521)</f>
        <v>0</v>
      </c>
    </row>
    <row r="522" spans="1:35" x14ac:dyDescent="0.25">
      <c r="A522">
        <v>513</v>
      </c>
      <c r="AI522" cm="1">
        <f t="array" ref="AI522">SUM(C522:AH522)</f>
        <v>0</v>
      </c>
    </row>
    <row r="523" spans="1:35" x14ac:dyDescent="0.25">
      <c r="A523">
        <v>514</v>
      </c>
      <c r="AI523" cm="1">
        <f t="array" ref="AI523">SUM(C523:AH523)</f>
        <v>0</v>
      </c>
    </row>
    <row r="524" spans="1:35" x14ac:dyDescent="0.25">
      <c r="A524">
        <v>515</v>
      </c>
      <c r="AI524" cm="1">
        <f t="array" ref="AI524">SUM(C524:AH524)</f>
        <v>0</v>
      </c>
    </row>
    <row r="525" spans="1:35" x14ac:dyDescent="0.25">
      <c r="A525">
        <v>516</v>
      </c>
      <c r="AI525" cm="1">
        <f t="array" ref="AI525">SUM(C525:AH525)</f>
        <v>0</v>
      </c>
    </row>
    <row r="526" spans="1:35" x14ac:dyDescent="0.25">
      <c r="A526">
        <v>517</v>
      </c>
      <c r="AI526" cm="1">
        <f t="array" ref="AI526">SUM(C526:AH526)</f>
        <v>0</v>
      </c>
    </row>
    <row r="527" spans="1:35" x14ac:dyDescent="0.25">
      <c r="A527">
        <v>518</v>
      </c>
      <c r="AI527" cm="1">
        <f t="array" ref="AI527">SUM(C527:AH527)</f>
        <v>0</v>
      </c>
    </row>
    <row r="528" spans="1:35" x14ac:dyDescent="0.25">
      <c r="A528">
        <v>519</v>
      </c>
      <c r="AI528" cm="1">
        <f t="array" ref="AI528">SUM(C528:AH528)</f>
        <v>0</v>
      </c>
    </row>
    <row r="529" spans="1:35" x14ac:dyDescent="0.25">
      <c r="A529">
        <v>520</v>
      </c>
      <c r="AI529" cm="1">
        <f t="array" ref="AI529">SUM(C529:AH529)</f>
        <v>0</v>
      </c>
    </row>
    <row r="530" spans="1:35" x14ac:dyDescent="0.25">
      <c r="A530">
        <v>521</v>
      </c>
      <c r="AI530" cm="1">
        <f t="array" ref="AI530">SUM(C530:AH530)</f>
        <v>0</v>
      </c>
    </row>
    <row r="531" spans="1:35" x14ac:dyDescent="0.25">
      <c r="A531">
        <v>522</v>
      </c>
      <c r="AI531" cm="1">
        <f t="array" ref="AI531">SUM(C531:AH531)</f>
        <v>0</v>
      </c>
    </row>
    <row r="532" spans="1:35" x14ac:dyDescent="0.25">
      <c r="A532">
        <v>523</v>
      </c>
      <c r="AI532" cm="1">
        <f t="array" ref="AI532">SUM(C532:AH532)</f>
        <v>0</v>
      </c>
    </row>
    <row r="533" spans="1:35" x14ac:dyDescent="0.25">
      <c r="A533">
        <v>524</v>
      </c>
      <c r="AI533" cm="1">
        <f t="array" ref="AI533">SUM(C533:AH533)</f>
        <v>0</v>
      </c>
    </row>
    <row r="534" spans="1:35" x14ac:dyDescent="0.25">
      <c r="A534">
        <v>525</v>
      </c>
      <c r="AI534" cm="1">
        <f t="array" ref="AI534">SUM(C534:AH534)</f>
        <v>0</v>
      </c>
    </row>
    <row r="535" spans="1:35" x14ac:dyDescent="0.25">
      <c r="A535">
        <v>526</v>
      </c>
      <c r="AI535" cm="1">
        <f t="array" ref="AI535">SUM(C535:AH535)</f>
        <v>0</v>
      </c>
    </row>
    <row r="536" spans="1:35" x14ac:dyDescent="0.25">
      <c r="A536">
        <v>527</v>
      </c>
      <c r="AI536" cm="1">
        <f t="array" ref="AI536">SUM(C536:AH536)</f>
        <v>0</v>
      </c>
    </row>
    <row r="537" spans="1:35" x14ac:dyDescent="0.25">
      <c r="A537">
        <v>528</v>
      </c>
      <c r="AI537" cm="1">
        <f t="array" ref="AI537">SUM(C537:AH537)</f>
        <v>0</v>
      </c>
    </row>
    <row r="538" spans="1:35" x14ac:dyDescent="0.25">
      <c r="A538">
        <v>529</v>
      </c>
      <c r="AI538" cm="1">
        <f t="array" ref="AI538">SUM(C538:AH538)</f>
        <v>0</v>
      </c>
    </row>
    <row r="539" spans="1:35" x14ac:dyDescent="0.25">
      <c r="A539">
        <v>530</v>
      </c>
      <c r="AI539" cm="1">
        <f t="array" ref="AI539">SUM(C539:AH539)</f>
        <v>0</v>
      </c>
    </row>
    <row r="540" spans="1:35" x14ac:dyDescent="0.25">
      <c r="A540">
        <v>531</v>
      </c>
      <c r="AI540" cm="1">
        <f t="array" ref="AI540">SUM(C540:AH540)</f>
        <v>0</v>
      </c>
    </row>
    <row r="541" spans="1:35" x14ac:dyDescent="0.25">
      <c r="A541">
        <v>532</v>
      </c>
      <c r="AI541" cm="1">
        <f t="array" ref="AI541">SUM(C541:AH541)</f>
        <v>0</v>
      </c>
    </row>
    <row r="542" spans="1:35" x14ac:dyDescent="0.25">
      <c r="A542">
        <v>533</v>
      </c>
      <c r="AI542" cm="1">
        <f t="array" ref="AI542">SUM(C542:AH542)</f>
        <v>0</v>
      </c>
    </row>
    <row r="543" spans="1:35" x14ac:dyDescent="0.25">
      <c r="A543">
        <v>534</v>
      </c>
      <c r="AI543" cm="1">
        <f t="array" ref="AI543">SUM(C543:AH543)</f>
        <v>0</v>
      </c>
    </row>
    <row r="544" spans="1:35" x14ac:dyDescent="0.25">
      <c r="A544">
        <v>535</v>
      </c>
      <c r="AI544" cm="1">
        <f t="array" ref="AI544">SUM(C544:AH544)</f>
        <v>0</v>
      </c>
    </row>
    <row r="545" spans="1:35" x14ac:dyDescent="0.25">
      <c r="A545">
        <v>536</v>
      </c>
      <c r="AI545" cm="1">
        <f t="array" ref="AI545">SUM(C545:AH545)</f>
        <v>0</v>
      </c>
    </row>
    <row r="546" spans="1:35" x14ac:dyDescent="0.25">
      <c r="A546">
        <v>537</v>
      </c>
      <c r="AI546" cm="1">
        <f t="array" ref="AI546">SUM(C546:AH546)</f>
        <v>0</v>
      </c>
    </row>
    <row r="547" spans="1:35" x14ac:dyDescent="0.25">
      <c r="A547">
        <v>538</v>
      </c>
      <c r="AI547" cm="1">
        <f t="array" ref="AI547">SUM(C547:AH547)</f>
        <v>0</v>
      </c>
    </row>
    <row r="548" spans="1:35" x14ac:dyDescent="0.25">
      <c r="A548">
        <v>539</v>
      </c>
      <c r="AI548" cm="1">
        <f t="array" ref="AI548">SUM(C548:AH548)</f>
        <v>0</v>
      </c>
    </row>
    <row r="549" spans="1:35" x14ac:dyDescent="0.25">
      <c r="A549">
        <v>540</v>
      </c>
      <c r="AI549" cm="1">
        <f t="array" ref="AI549">SUM(C549:AH549)</f>
        <v>0</v>
      </c>
    </row>
    <row r="550" spans="1:35" x14ac:dyDescent="0.25">
      <c r="A550">
        <v>541</v>
      </c>
      <c r="AI550" cm="1">
        <f t="array" ref="AI550">SUM(C550:AH550)</f>
        <v>0</v>
      </c>
    </row>
    <row r="551" spans="1:35" x14ac:dyDescent="0.25">
      <c r="A551">
        <v>542</v>
      </c>
      <c r="AI551" cm="1">
        <f t="array" ref="AI551">SUM(C551:AH551)</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showGridLines="0" workbookViewId="0"/>
  </sheetViews>
  <sheetFormatPr baseColWidth="10" defaultColWidth="13.6640625" defaultRowHeight="13.2" x14ac:dyDescent="0.25"/>
  <sheetData>
    <row r="1" spans="1:2" x14ac:dyDescent="0.25">
      <c r="A1" t="s">
        <v>123</v>
      </c>
      <c r="B1" t="s">
        <v>124</v>
      </c>
    </row>
    <row r="2" spans="1:2" x14ac:dyDescent="0.25">
      <c r="A2" t="s">
        <v>125</v>
      </c>
      <c r="B2" t="s">
        <v>126</v>
      </c>
    </row>
    <row r="3" spans="1:2" x14ac:dyDescent="0.25">
      <c r="A3" t="s">
        <v>127</v>
      </c>
    </row>
    <row r="4" spans="1:2" x14ac:dyDescent="0.25">
      <c r="A4" t="s">
        <v>128</v>
      </c>
    </row>
    <row r="5" spans="1:2" x14ac:dyDescent="0.25">
      <c r="A5" t="s">
        <v>129</v>
      </c>
      <c r="B5" t="s">
        <v>3</v>
      </c>
    </row>
    <row r="6" spans="1:2" x14ac:dyDescent="0.25">
      <c r="A6" t="s">
        <v>130</v>
      </c>
    </row>
    <row r="7" spans="1:2" x14ac:dyDescent="0.25">
      <c r="A7"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Dashboard</vt:lpstr>
      <vt:lpstr>Categories</vt:lpstr>
      <vt:lpstr>CA</vt:lpstr>
      <vt:lpstr>Quantity</vt:lpstr>
      <vt:lpstr>Filtres actifs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Moran Hanane</dc:creator>
  <cp:lastModifiedBy>Moran Hanane</cp:lastModifiedBy>
  <dcterms:created xsi:type="dcterms:W3CDTF">2026-02-16T08:17:25Z</dcterms:created>
  <dcterms:modified xsi:type="dcterms:W3CDTF">2026-03-17T16:48:59Z</dcterms:modified>
</cp:coreProperties>
</file>